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STOCK\Capital_vercel_new\imp_strategy\"/>
    </mc:Choice>
  </mc:AlternateContent>
  <bookViews>
    <workbookView xWindow="0" yWindow="0" windowWidth="23040" windowHeight="9384" activeTab="3"/>
  </bookViews>
  <sheets>
    <sheet name="RAWLINKS" sheetId="1" r:id="rId1"/>
    <sheet name="oiFNO" sheetId="2" state="hidden" r:id="rId2"/>
    <sheet name="optionchain" sheetId="3" r:id="rId3"/>
    <sheet name="Black-Scholes" sheetId="4" r:id="rId4"/>
    <sheet name="GRAPH" sheetId="5" r:id="rId5"/>
    <sheet name="ALLGRAPHS" sheetId="6" state="hidden" r:id="rId6"/>
    <sheet name="IMPLIED" sheetId="7" state="hidden" r:id="rId7"/>
    <sheet name="topgainers" sheetId="8" state="hidden" r:id="rId8"/>
    <sheet name="toplosers" sheetId="9" state="hidden" r:id="rId9"/>
    <sheet name="ALL FUT" sheetId="10" state="hidden" r:id="rId10"/>
  </sheets>
  <definedNames>
    <definedName name="_Nd1">'Black-Scholes'!$J$5</definedName>
    <definedName name="_Nd2">'Black-Scholes'!$K$5</definedName>
    <definedName name="_vd1">'Black-Scholes'!$H$5</definedName>
    <definedName name="_vd2">'Black-Scholes'!$I$5</definedName>
    <definedName name="DividendYield" localSheetId="3">'Black-Scholes'!$B$9</definedName>
    <definedName name="DividendYield">#REF!</definedName>
    <definedName name="ExercisePrice">'Black-Scholes'!#REF!</definedName>
    <definedName name="ExternalData_1" localSheetId="9">'ALL FUT'!$C$1:$M$7</definedName>
    <definedName name="ExternalData_1" localSheetId="1">oiFNO!$J$9:$T$116</definedName>
    <definedName name="ExternalData_1" localSheetId="7">topgainers!$A$1:$K$6</definedName>
    <definedName name="ExternalData_1" localSheetId="8">toplosers!$A$1:$K$6</definedName>
    <definedName name="ExternalData_2" localSheetId="1">oiFNO!$W$14:$X$22</definedName>
    <definedName name="ExternalData_3" localSheetId="1">oiFNO!$W$1:$Z$6</definedName>
    <definedName name="ExternalData_4" localSheetId="1">oiFNO!#REF!</definedName>
    <definedName name="ExternalData_5" localSheetId="1">oiFNO!$D$2:$D$19</definedName>
    <definedName name="ExternalData_6" localSheetId="1">oiFNO!$B$2:$B$5</definedName>
    <definedName name="N_dash_d1">'Black-Scholes'!$L$5</definedName>
    <definedName name="RiskFreeRate" localSheetId="3">'Black-Scholes'!$B$7</definedName>
    <definedName name="RiskFreeRate">#REF!</definedName>
    <definedName name="sigma" localSheetId="3">'Black-Scholes'!$B$8</definedName>
    <definedName name="sigma">#REF!</definedName>
    <definedName name="solver_eng" localSheetId="3">1</definedName>
    <definedName name="solver_neg" localSheetId="3">1</definedName>
    <definedName name="solver_num" localSheetId="3">0</definedName>
    <definedName name="solver_opt" localSheetId="3">'Black-Scholes'!$D$12</definedName>
    <definedName name="solver_typ" localSheetId="3">1</definedName>
    <definedName name="solver_val" localSheetId="3">0</definedName>
    <definedName name="solver_ver" localSheetId="3">3</definedName>
    <definedName name="SOURCEDATA">#REF!</definedName>
    <definedName name="SpotPrice" localSheetId="3">'Black-Scholes'!$B$5</definedName>
    <definedName name="SpotPrice">#REF!</definedName>
    <definedName name="StrikePrice" localSheetId="3">'Black-Scholes'!$B$6</definedName>
    <definedName name="StrikePrice">#REF!</definedName>
    <definedName name="TimeToMaturity" localSheetId="3">'Black-Scholes'!$B$10</definedName>
    <definedName name="TimeToMaturity">#REF!</definedName>
  </definedNames>
  <calcPr calcId="152511"/>
  <fileRecoveryPr repairLoad="1"/>
  <extLst>
    <ext uri="GoogleSheetsCustomDataVersion2">
      <go:sheetsCustomData xmlns:go="http://customooxmlschemas.google.com/" r:id="rId15" roundtripDataChecksum="TAQ2gflVrKmnUb2VF2lCWngZZUAq/wIq/pANRZ4+mrM="/>
    </ext>
  </extLst>
</workbook>
</file>

<file path=xl/calcChain.xml><?xml version="1.0" encoding="utf-8"?>
<calcChain xmlns="http://schemas.openxmlformats.org/spreadsheetml/2006/main">
  <c r="Q685" i="10" l="1"/>
  <c r="Q684" i="10"/>
  <c r="Q683" i="10"/>
  <c r="Q682" i="10"/>
  <c r="Q681" i="10"/>
  <c r="Q680" i="10"/>
  <c r="Q679" i="10"/>
  <c r="Q678" i="10"/>
  <c r="Q677" i="10"/>
  <c r="Q676" i="10"/>
  <c r="Q675" i="10"/>
  <c r="Q674" i="10"/>
  <c r="Q673" i="10"/>
  <c r="Q672" i="10"/>
  <c r="Q671" i="10"/>
  <c r="Q670" i="10"/>
  <c r="Q669" i="10"/>
  <c r="Q668" i="10"/>
  <c r="Q667" i="10"/>
  <c r="Q666" i="10"/>
  <c r="Q665" i="10"/>
  <c r="Q664" i="10"/>
  <c r="Q663" i="10"/>
  <c r="Q662" i="10"/>
  <c r="Q661" i="10"/>
  <c r="Q660" i="10"/>
  <c r="Q659" i="10"/>
  <c r="Q658" i="10"/>
  <c r="Q657" i="10"/>
  <c r="Q656" i="10"/>
  <c r="Q655" i="10"/>
  <c r="Q654" i="10"/>
  <c r="Q653" i="10"/>
  <c r="Q652" i="10"/>
  <c r="Q651" i="10"/>
  <c r="Q650" i="10"/>
  <c r="Q649" i="10"/>
  <c r="Q648" i="10"/>
  <c r="Q647" i="10"/>
  <c r="Q646" i="10"/>
  <c r="Q645" i="10"/>
  <c r="Q644" i="10"/>
  <c r="Q643" i="10"/>
  <c r="Q642" i="10"/>
  <c r="Q641" i="10"/>
  <c r="Q640" i="10"/>
  <c r="Q639" i="10"/>
  <c r="Q638" i="10"/>
  <c r="Q637" i="10"/>
  <c r="Q636" i="10"/>
  <c r="Q635" i="10"/>
  <c r="Q634" i="10"/>
  <c r="Q633" i="10"/>
  <c r="Q632" i="10"/>
  <c r="Q631" i="10"/>
  <c r="Q630" i="10"/>
  <c r="Q629" i="10"/>
  <c r="Q628" i="10"/>
  <c r="Q627" i="10"/>
  <c r="Q626" i="10"/>
  <c r="Q625" i="10"/>
  <c r="Q624" i="10"/>
  <c r="Q623" i="10"/>
  <c r="Q622" i="10"/>
  <c r="Q621" i="10"/>
  <c r="Q620" i="10"/>
  <c r="Q619" i="10"/>
  <c r="Q618" i="10"/>
  <c r="Q617" i="10"/>
  <c r="Q616" i="10"/>
  <c r="Q615" i="10"/>
  <c r="Q614" i="10"/>
  <c r="Q613" i="10"/>
  <c r="Q612" i="10"/>
  <c r="Q611" i="10"/>
  <c r="Q610" i="10"/>
  <c r="Q609" i="10"/>
  <c r="Q608" i="10"/>
  <c r="Q607" i="10"/>
  <c r="Q606" i="10"/>
  <c r="Q605" i="10"/>
  <c r="Q604" i="10"/>
  <c r="Q603" i="10"/>
  <c r="Q602" i="10"/>
  <c r="Q601" i="10"/>
  <c r="Q600" i="10"/>
  <c r="Q599" i="10"/>
  <c r="Q598" i="10"/>
  <c r="Q597" i="10"/>
  <c r="Q596" i="10"/>
  <c r="Q595" i="10"/>
  <c r="Q594" i="10"/>
  <c r="Q593" i="10"/>
  <c r="Q592" i="10"/>
  <c r="Q591" i="10"/>
  <c r="Q590" i="10"/>
  <c r="Q589" i="10"/>
  <c r="Q588" i="10"/>
  <c r="Q587" i="10"/>
  <c r="Q586" i="10"/>
  <c r="Q585" i="10"/>
  <c r="Q584" i="10"/>
  <c r="Q583" i="10"/>
  <c r="Q582" i="10"/>
  <c r="Q581" i="10"/>
  <c r="Q580" i="10"/>
  <c r="Q579" i="10"/>
  <c r="Q578" i="10"/>
  <c r="Q577" i="10"/>
  <c r="Q576" i="10"/>
  <c r="Q575" i="10"/>
  <c r="Q574" i="10"/>
  <c r="Q573" i="10"/>
  <c r="Q572" i="10"/>
  <c r="Q571" i="10"/>
  <c r="Q570" i="10"/>
  <c r="Q569" i="10"/>
  <c r="Q568" i="10"/>
  <c r="Q567" i="10"/>
  <c r="Q566" i="10"/>
  <c r="Q565" i="10"/>
  <c r="Q564" i="10"/>
  <c r="Q563" i="10"/>
  <c r="Q562" i="10"/>
  <c r="Q561" i="10"/>
  <c r="Q560" i="10"/>
  <c r="Q559" i="10"/>
  <c r="Q558" i="10"/>
  <c r="Q557" i="10"/>
  <c r="Q556" i="10"/>
  <c r="Q555" i="10"/>
  <c r="Q554" i="10"/>
  <c r="Q553" i="10"/>
  <c r="Q552" i="10"/>
  <c r="Q551" i="10"/>
  <c r="Q550" i="10"/>
  <c r="Q549" i="10"/>
  <c r="Q548" i="10"/>
  <c r="Q547" i="10"/>
  <c r="Q546" i="10"/>
  <c r="Q545" i="10"/>
  <c r="Q544" i="10"/>
  <c r="Q543" i="10"/>
  <c r="Q542" i="10"/>
  <c r="Q541" i="10"/>
  <c r="Q540" i="10"/>
  <c r="Q539" i="10"/>
  <c r="Q538" i="10"/>
  <c r="Q537" i="10"/>
  <c r="Q536" i="10"/>
  <c r="Q535" i="10"/>
  <c r="Q534" i="10"/>
  <c r="Q533" i="10"/>
  <c r="Q532" i="10"/>
  <c r="Q531" i="10"/>
  <c r="Q530" i="10"/>
  <c r="Q529" i="10"/>
  <c r="Q528" i="10"/>
  <c r="Q527" i="10"/>
  <c r="Q526" i="10"/>
  <c r="Q525" i="10"/>
  <c r="Q524" i="10"/>
  <c r="Q523" i="10"/>
  <c r="Q522" i="10"/>
  <c r="Q521" i="10"/>
  <c r="Q520" i="10"/>
  <c r="Q519" i="10"/>
  <c r="Q518" i="10"/>
  <c r="Q517" i="10"/>
  <c r="Q516" i="10"/>
  <c r="Q515" i="10"/>
  <c r="Q514" i="10"/>
  <c r="Q513" i="10"/>
  <c r="Q512" i="10"/>
  <c r="Q511" i="10"/>
  <c r="Q510" i="10"/>
  <c r="Q509" i="10"/>
  <c r="Q508" i="10"/>
  <c r="Q507" i="10"/>
  <c r="Q506" i="10"/>
  <c r="Q505" i="10"/>
  <c r="Q504" i="10"/>
  <c r="Q503" i="10"/>
  <c r="Q502" i="10"/>
  <c r="Q501" i="10"/>
  <c r="Q500" i="10"/>
  <c r="Q499" i="10"/>
  <c r="Q498" i="10"/>
  <c r="Q497" i="10"/>
  <c r="Q496" i="10"/>
  <c r="Q495" i="10"/>
  <c r="Q494" i="10"/>
  <c r="Q493" i="10"/>
  <c r="Q492" i="10"/>
  <c r="Q491" i="10"/>
  <c r="Q490" i="10"/>
  <c r="Q489" i="10"/>
  <c r="Q488" i="10"/>
  <c r="Q487" i="10"/>
  <c r="Q486" i="10"/>
  <c r="Q485" i="10"/>
  <c r="Q484" i="10"/>
  <c r="Q483" i="10"/>
  <c r="Q482" i="10"/>
  <c r="Q481" i="10"/>
  <c r="Q480" i="10"/>
  <c r="Q479" i="10"/>
  <c r="Q478" i="10"/>
  <c r="Q477" i="10"/>
  <c r="Q476" i="10"/>
  <c r="Q475" i="10"/>
  <c r="Q474" i="10"/>
  <c r="Q473" i="10"/>
  <c r="Q472" i="10"/>
  <c r="Q471" i="10"/>
  <c r="Q470" i="10"/>
  <c r="Q469" i="10"/>
  <c r="Q468" i="10"/>
  <c r="Q467" i="10"/>
  <c r="Q466" i="10"/>
  <c r="Q465" i="10"/>
  <c r="Q464" i="10"/>
  <c r="Q463" i="10"/>
  <c r="Q462" i="10"/>
  <c r="Q461" i="10"/>
  <c r="Q460" i="10"/>
  <c r="Q459" i="10"/>
  <c r="Q458" i="10"/>
  <c r="Q457" i="10"/>
  <c r="A457" i="10"/>
  <c r="Q456" i="10"/>
  <c r="A456" i="10"/>
  <c r="Q455" i="10"/>
  <c r="A455" i="10"/>
  <c r="Q454" i="10"/>
  <c r="A454" i="10"/>
  <c r="Q453" i="10"/>
  <c r="A453" i="10"/>
  <c r="Q452" i="10"/>
  <c r="A452" i="10"/>
  <c r="Q451" i="10"/>
  <c r="A451" i="10"/>
  <c r="Q450" i="10"/>
  <c r="A450" i="10"/>
  <c r="Q449" i="10"/>
  <c r="A449" i="10"/>
  <c r="Q448" i="10"/>
  <c r="A448" i="10"/>
  <c r="Q447" i="10"/>
  <c r="A447" i="10"/>
  <c r="Q446" i="10"/>
  <c r="A446" i="10"/>
  <c r="Q445" i="10"/>
  <c r="A445" i="10"/>
  <c r="Q444" i="10"/>
  <c r="A444" i="10"/>
  <c r="Q443" i="10"/>
  <c r="A443" i="10"/>
  <c r="Q442" i="10"/>
  <c r="A442" i="10"/>
  <c r="Q441" i="10"/>
  <c r="A441" i="10"/>
  <c r="Q440" i="10"/>
  <c r="A440" i="10"/>
  <c r="Q439" i="10"/>
  <c r="A439" i="10"/>
  <c r="Q438" i="10"/>
  <c r="A438" i="10"/>
  <c r="Q437" i="10"/>
  <c r="A437" i="10"/>
  <c r="Q436" i="10"/>
  <c r="A436" i="10"/>
  <c r="Q435" i="10"/>
  <c r="A435" i="10"/>
  <c r="Q434" i="10"/>
  <c r="A434" i="10"/>
  <c r="Q433" i="10"/>
  <c r="A433" i="10"/>
  <c r="Q432" i="10"/>
  <c r="A432" i="10"/>
  <c r="Q431" i="10"/>
  <c r="A431" i="10"/>
  <c r="Q430" i="10"/>
  <c r="A430" i="10"/>
  <c r="Q429" i="10"/>
  <c r="A429" i="10"/>
  <c r="Q428" i="10"/>
  <c r="A428" i="10"/>
  <c r="Q427" i="10"/>
  <c r="A427" i="10"/>
  <c r="Q426" i="10"/>
  <c r="A426" i="10"/>
  <c r="Q425" i="10"/>
  <c r="A425" i="10"/>
  <c r="Q424" i="10"/>
  <c r="A424" i="10"/>
  <c r="Q423" i="10"/>
  <c r="A423" i="10"/>
  <c r="Q422" i="10"/>
  <c r="A422" i="10"/>
  <c r="Q421" i="10"/>
  <c r="A421" i="10"/>
  <c r="Q420" i="10"/>
  <c r="A420" i="10"/>
  <c r="Q419" i="10"/>
  <c r="A419" i="10"/>
  <c r="Q418" i="10"/>
  <c r="A418" i="10"/>
  <c r="Q417" i="10"/>
  <c r="A417" i="10"/>
  <c r="Q416" i="10"/>
  <c r="A416" i="10"/>
  <c r="Q415" i="10"/>
  <c r="A415" i="10"/>
  <c r="Q414" i="10"/>
  <c r="A414" i="10"/>
  <c r="Q413" i="10"/>
  <c r="A413" i="10"/>
  <c r="Q412" i="10"/>
  <c r="A412" i="10"/>
  <c r="Q411" i="10"/>
  <c r="A411" i="10"/>
  <c r="Q410" i="10"/>
  <c r="A410" i="10"/>
  <c r="Q409" i="10"/>
  <c r="A409" i="10"/>
  <c r="Q408" i="10"/>
  <c r="A408" i="10"/>
  <c r="Q407" i="10"/>
  <c r="A407" i="10"/>
  <c r="Q406" i="10"/>
  <c r="A406" i="10"/>
  <c r="Q405" i="10"/>
  <c r="A405" i="10"/>
  <c r="Q404" i="10"/>
  <c r="A404" i="10"/>
  <c r="Q403" i="10"/>
  <c r="A403" i="10"/>
  <c r="Q402" i="10"/>
  <c r="A402" i="10"/>
  <c r="Q401" i="10"/>
  <c r="A401" i="10"/>
  <c r="Q400" i="10"/>
  <c r="A400" i="10"/>
  <c r="Q399" i="10"/>
  <c r="A399" i="10"/>
  <c r="Q398" i="10"/>
  <c r="A398" i="10"/>
  <c r="Q397" i="10"/>
  <c r="A397" i="10"/>
  <c r="Q396" i="10"/>
  <c r="A396" i="10"/>
  <c r="Q395" i="10"/>
  <c r="A395" i="10"/>
  <c r="Q394" i="10"/>
  <c r="A394" i="10"/>
  <c r="Q393" i="10"/>
  <c r="A393" i="10"/>
  <c r="Q392" i="10"/>
  <c r="A392" i="10"/>
  <c r="Q391" i="10"/>
  <c r="A391" i="10"/>
  <c r="Q390" i="10"/>
  <c r="A390" i="10"/>
  <c r="Q389" i="10"/>
  <c r="A389" i="10"/>
  <c r="Q388" i="10"/>
  <c r="A388" i="10"/>
  <c r="Q387" i="10"/>
  <c r="A387" i="10"/>
  <c r="Q386" i="10"/>
  <c r="A386" i="10"/>
  <c r="Q385" i="10"/>
  <c r="A385" i="10"/>
  <c r="Q384" i="10"/>
  <c r="A384" i="10"/>
  <c r="Q383" i="10"/>
  <c r="A383" i="10"/>
  <c r="Q382" i="10"/>
  <c r="A382" i="10"/>
  <c r="Q381" i="10"/>
  <c r="A381" i="10"/>
  <c r="Q380" i="10"/>
  <c r="A380" i="10"/>
  <c r="Q379" i="10"/>
  <c r="A379" i="10"/>
  <c r="Q378" i="10"/>
  <c r="A378" i="10"/>
  <c r="Q377" i="10"/>
  <c r="A377" i="10"/>
  <c r="Q376" i="10"/>
  <c r="A376" i="10"/>
  <c r="Q375" i="10"/>
  <c r="A375" i="10"/>
  <c r="Q374" i="10"/>
  <c r="A374" i="10"/>
  <c r="Q373" i="10"/>
  <c r="A373" i="10"/>
  <c r="Q372" i="10"/>
  <c r="A372" i="10"/>
  <c r="Q371" i="10"/>
  <c r="A371" i="10"/>
  <c r="Q370" i="10"/>
  <c r="A370" i="10"/>
  <c r="Q369" i="10"/>
  <c r="A369" i="10"/>
  <c r="Q368" i="10"/>
  <c r="A368" i="10"/>
  <c r="Q367" i="10"/>
  <c r="A367" i="10"/>
  <c r="Q366" i="10"/>
  <c r="A366" i="10"/>
  <c r="Q365" i="10"/>
  <c r="A365" i="10"/>
  <c r="Q364" i="10"/>
  <c r="A364" i="10"/>
  <c r="Q363" i="10"/>
  <c r="A363" i="10"/>
  <c r="Q362" i="10"/>
  <c r="A362" i="10"/>
  <c r="Q361" i="10"/>
  <c r="A361" i="10"/>
  <c r="Q360" i="10"/>
  <c r="A360" i="10"/>
  <c r="Q359" i="10"/>
  <c r="A359" i="10"/>
  <c r="Q358" i="10"/>
  <c r="A358" i="10"/>
  <c r="Q357" i="10"/>
  <c r="A357" i="10"/>
  <c r="Q356" i="10"/>
  <c r="A356" i="10"/>
  <c r="Q355" i="10"/>
  <c r="A355" i="10"/>
  <c r="Q354" i="10"/>
  <c r="A354" i="10"/>
  <c r="Q353" i="10"/>
  <c r="A353" i="10"/>
  <c r="Q352" i="10"/>
  <c r="A352" i="10"/>
  <c r="Q351" i="10"/>
  <c r="A351" i="10"/>
  <c r="Q350" i="10"/>
  <c r="A350" i="10"/>
  <c r="Q349" i="10"/>
  <c r="A349" i="10"/>
  <c r="Q348" i="10"/>
  <c r="A348" i="10"/>
  <c r="Q347" i="10"/>
  <c r="A347" i="10"/>
  <c r="Q346" i="10"/>
  <c r="A346" i="10"/>
  <c r="Q345" i="10"/>
  <c r="A345" i="10"/>
  <c r="Q344" i="10"/>
  <c r="A344" i="10"/>
  <c r="Q343" i="10"/>
  <c r="A343" i="10"/>
  <c r="Q342" i="10"/>
  <c r="A342" i="10"/>
  <c r="Q341" i="10"/>
  <c r="A341" i="10"/>
  <c r="Q340" i="10"/>
  <c r="A340" i="10"/>
  <c r="Q339" i="10"/>
  <c r="A339" i="10"/>
  <c r="Q338" i="10"/>
  <c r="A338" i="10"/>
  <c r="Q337" i="10"/>
  <c r="A337" i="10"/>
  <c r="Q336" i="10"/>
  <c r="A336" i="10"/>
  <c r="Q335" i="10"/>
  <c r="A335" i="10"/>
  <c r="Q334" i="10"/>
  <c r="A334" i="10"/>
  <c r="Q333" i="10"/>
  <c r="A333" i="10"/>
  <c r="Q332" i="10"/>
  <c r="A332" i="10"/>
  <c r="Q331" i="10"/>
  <c r="A331" i="10"/>
  <c r="Q330" i="10"/>
  <c r="A330" i="10"/>
  <c r="Q329" i="10"/>
  <c r="A329" i="10"/>
  <c r="Q328" i="10"/>
  <c r="A328" i="10"/>
  <c r="Q327" i="10"/>
  <c r="A327" i="10"/>
  <c r="Q326" i="10"/>
  <c r="A326" i="10"/>
  <c r="Q325" i="10"/>
  <c r="A325" i="10"/>
  <c r="Q324" i="10"/>
  <c r="A324" i="10"/>
  <c r="Q323" i="10"/>
  <c r="A323" i="10"/>
  <c r="Q322" i="10"/>
  <c r="A322" i="10"/>
  <c r="Q321" i="10"/>
  <c r="A321" i="10"/>
  <c r="Q320" i="10"/>
  <c r="A320" i="10"/>
  <c r="Q319" i="10"/>
  <c r="A319" i="10"/>
  <c r="Q318" i="10"/>
  <c r="A318" i="10"/>
  <c r="Q317" i="10"/>
  <c r="A317" i="10"/>
  <c r="Q316" i="10"/>
  <c r="A316" i="10"/>
  <c r="Q315" i="10"/>
  <c r="A315" i="10"/>
  <c r="Q314" i="10"/>
  <c r="A314" i="10"/>
  <c r="Q313" i="10"/>
  <c r="A313" i="10"/>
  <c r="Q312" i="10"/>
  <c r="A312" i="10"/>
  <c r="Q311" i="10"/>
  <c r="A311" i="10"/>
  <c r="Q310" i="10"/>
  <c r="A310" i="10"/>
  <c r="Q309" i="10"/>
  <c r="A309" i="10"/>
  <c r="Q308" i="10"/>
  <c r="A308" i="10"/>
  <c r="Q307" i="10"/>
  <c r="A307" i="10"/>
  <c r="Q306" i="10"/>
  <c r="A306" i="10"/>
  <c r="Q305" i="10"/>
  <c r="A305" i="10"/>
  <c r="Q304" i="10"/>
  <c r="A304" i="10"/>
  <c r="Q303" i="10"/>
  <c r="A303" i="10"/>
  <c r="Q302" i="10"/>
  <c r="A302" i="10"/>
  <c r="Q301" i="10"/>
  <c r="A301" i="10"/>
  <c r="Q300" i="10"/>
  <c r="A300" i="10"/>
  <c r="Q299" i="10"/>
  <c r="A299" i="10"/>
  <c r="Q298" i="10"/>
  <c r="A298" i="10"/>
  <c r="Q297" i="10"/>
  <c r="A297" i="10"/>
  <c r="Q296" i="10"/>
  <c r="A296" i="10"/>
  <c r="Q295" i="10"/>
  <c r="A295" i="10"/>
  <c r="Q294" i="10"/>
  <c r="A294" i="10"/>
  <c r="Q293" i="10"/>
  <c r="A293" i="10"/>
  <c r="Q292" i="10"/>
  <c r="A292" i="10"/>
  <c r="Q291" i="10"/>
  <c r="A291" i="10"/>
  <c r="Q290" i="10"/>
  <c r="A290" i="10"/>
  <c r="Q289" i="10"/>
  <c r="A289" i="10"/>
  <c r="Q288" i="10"/>
  <c r="A288" i="10"/>
  <c r="Q287" i="10"/>
  <c r="A287" i="10"/>
  <c r="Q286" i="10"/>
  <c r="A286" i="10"/>
  <c r="Q285" i="10"/>
  <c r="A285" i="10"/>
  <c r="Q284" i="10"/>
  <c r="A284" i="10"/>
  <c r="Q283" i="10"/>
  <c r="A283" i="10"/>
  <c r="Q282" i="10"/>
  <c r="A282" i="10"/>
  <c r="Q281" i="10"/>
  <c r="A281" i="10"/>
  <c r="Q280" i="10"/>
  <c r="A280" i="10"/>
  <c r="Q279" i="10"/>
  <c r="A279" i="10"/>
  <c r="Q278" i="10"/>
  <c r="A278" i="10"/>
  <c r="Q277" i="10"/>
  <c r="A277" i="10"/>
  <c r="Q276" i="10"/>
  <c r="A276" i="10"/>
  <c r="Q275" i="10"/>
  <c r="A275" i="10"/>
  <c r="Q274" i="10"/>
  <c r="A274" i="10"/>
  <c r="Q273" i="10"/>
  <c r="A273" i="10"/>
  <c r="Q272" i="10"/>
  <c r="A272" i="10"/>
  <c r="Q271" i="10"/>
  <c r="A271" i="10"/>
  <c r="Q270" i="10"/>
  <c r="A270" i="10"/>
  <c r="Q269" i="10"/>
  <c r="A269" i="10"/>
  <c r="Q268" i="10"/>
  <c r="A268" i="10"/>
  <c r="Q267" i="10"/>
  <c r="A267" i="10"/>
  <c r="Q266" i="10"/>
  <c r="A266" i="10"/>
  <c r="Q265" i="10"/>
  <c r="A265" i="10"/>
  <c r="Q264" i="10"/>
  <c r="A264" i="10"/>
  <c r="Q263" i="10"/>
  <c r="A263" i="10"/>
  <c r="Q262" i="10"/>
  <c r="A262" i="10"/>
  <c r="Q261" i="10"/>
  <c r="A261" i="10"/>
  <c r="Q260" i="10"/>
  <c r="A260" i="10"/>
  <c r="Q259" i="10"/>
  <c r="A259" i="10"/>
  <c r="Q258" i="10"/>
  <c r="A258" i="10"/>
  <c r="Q257" i="10"/>
  <c r="A257" i="10"/>
  <c r="Q256" i="10"/>
  <c r="A256" i="10"/>
  <c r="Q255" i="10"/>
  <c r="A255" i="10"/>
  <c r="Q254" i="10"/>
  <c r="A254" i="10"/>
  <c r="Q253" i="10"/>
  <c r="A253" i="10"/>
  <c r="Q252" i="10"/>
  <c r="A252" i="10"/>
  <c r="Q251" i="10"/>
  <c r="A251" i="10"/>
  <c r="Q250" i="10"/>
  <c r="A250" i="10"/>
  <c r="Q249" i="10"/>
  <c r="A249" i="10"/>
  <c r="Q248" i="10"/>
  <c r="A248" i="10"/>
  <c r="Q247" i="10"/>
  <c r="A247" i="10"/>
  <c r="Q246" i="10"/>
  <c r="A246" i="10"/>
  <c r="Q245" i="10"/>
  <c r="A245" i="10"/>
  <c r="Q244" i="10"/>
  <c r="A244" i="10"/>
  <c r="Q243" i="10"/>
  <c r="A243" i="10"/>
  <c r="Q242" i="10"/>
  <c r="A242" i="10"/>
  <c r="Q241" i="10"/>
  <c r="A241" i="10"/>
  <c r="Q240" i="10"/>
  <c r="A240" i="10"/>
  <c r="Q239" i="10"/>
  <c r="A239" i="10"/>
  <c r="Q238" i="10"/>
  <c r="A238" i="10"/>
  <c r="Q237" i="10"/>
  <c r="A237" i="10"/>
  <c r="Q236" i="10"/>
  <c r="A236" i="10"/>
  <c r="Q235" i="10"/>
  <c r="A235" i="10"/>
  <c r="Q234" i="10"/>
  <c r="A234" i="10"/>
  <c r="Q233" i="10"/>
  <c r="A233" i="10"/>
  <c r="Q232" i="10"/>
  <c r="A232" i="10"/>
  <c r="Q231" i="10"/>
  <c r="A231" i="10"/>
  <c r="Q230" i="10"/>
  <c r="A230" i="10"/>
  <c r="Q229" i="10"/>
  <c r="A229" i="10"/>
  <c r="Q228" i="10"/>
  <c r="A228" i="10"/>
  <c r="Q227" i="10"/>
  <c r="A227" i="10"/>
  <c r="Q226" i="10"/>
  <c r="A226" i="10"/>
  <c r="Q225" i="10"/>
  <c r="A225" i="10"/>
  <c r="Q224" i="10"/>
  <c r="A224" i="10"/>
  <c r="Q223" i="10"/>
  <c r="A223" i="10"/>
  <c r="Q222" i="10"/>
  <c r="A222" i="10"/>
  <c r="Q221" i="10"/>
  <c r="A221" i="10"/>
  <c r="Q220" i="10"/>
  <c r="A220" i="10"/>
  <c r="Q219" i="10"/>
  <c r="A219" i="10"/>
  <c r="Q218" i="10"/>
  <c r="A218" i="10"/>
  <c r="Q217" i="10"/>
  <c r="A217" i="10"/>
  <c r="Q216" i="10"/>
  <c r="A216" i="10"/>
  <c r="Q215" i="10"/>
  <c r="A215" i="10"/>
  <c r="Q214" i="10"/>
  <c r="A214" i="10"/>
  <c r="Q213" i="10"/>
  <c r="A213" i="10"/>
  <c r="Q212" i="10"/>
  <c r="A212" i="10"/>
  <c r="Q211" i="10"/>
  <c r="A211" i="10"/>
  <c r="Q210" i="10"/>
  <c r="A210" i="10"/>
  <c r="Q209" i="10"/>
  <c r="A209" i="10"/>
  <c r="Q208" i="10"/>
  <c r="A208" i="10"/>
  <c r="Q207" i="10"/>
  <c r="A207" i="10"/>
  <c r="Q206" i="10"/>
  <c r="A206" i="10"/>
  <c r="Q205" i="10"/>
  <c r="A205" i="10"/>
  <c r="Q204" i="10"/>
  <c r="A204" i="10"/>
  <c r="Q203" i="10"/>
  <c r="A203" i="10"/>
  <c r="Q202" i="10"/>
  <c r="A202" i="10"/>
  <c r="Q201" i="10"/>
  <c r="A201" i="10"/>
  <c r="Q200" i="10"/>
  <c r="A200" i="10"/>
  <c r="Q199" i="10"/>
  <c r="A199" i="10"/>
  <c r="Q198" i="10"/>
  <c r="A198" i="10"/>
  <c r="Q197" i="10"/>
  <c r="A197" i="10"/>
  <c r="Q196" i="10"/>
  <c r="A196" i="10"/>
  <c r="Q195" i="10"/>
  <c r="A195" i="10"/>
  <c r="Q194" i="10"/>
  <c r="A194" i="10"/>
  <c r="Q193" i="10"/>
  <c r="A193" i="10"/>
  <c r="Q192" i="10"/>
  <c r="A192" i="10"/>
  <c r="Q191" i="10"/>
  <c r="A191" i="10"/>
  <c r="Q190" i="10"/>
  <c r="A190" i="10"/>
  <c r="Q189" i="10"/>
  <c r="A189" i="10"/>
  <c r="Q188" i="10"/>
  <c r="A188" i="10"/>
  <c r="Q187" i="10"/>
  <c r="A187" i="10"/>
  <c r="Q186" i="10"/>
  <c r="A186" i="10"/>
  <c r="Q185" i="10"/>
  <c r="A185" i="10"/>
  <c r="Q184" i="10"/>
  <c r="A184" i="10"/>
  <c r="Q183" i="10"/>
  <c r="A183" i="10"/>
  <c r="Q182" i="10"/>
  <c r="A182" i="10"/>
  <c r="Q181" i="10"/>
  <c r="A181" i="10"/>
  <c r="Q180" i="10"/>
  <c r="A180" i="10"/>
  <c r="Q179" i="10"/>
  <c r="A179" i="10"/>
  <c r="Q178" i="10"/>
  <c r="A178" i="10"/>
  <c r="Q177" i="10"/>
  <c r="A177" i="10"/>
  <c r="Q176" i="10"/>
  <c r="A176" i="10"/>
  <c r="Q175" i="10"/>
  <c r="A175" i="10"/>
  <c r="Q174" i="10"/>
  <c r="A174" i="10"/>
  <c r="Q173" i="10"/>
  <c r="A173" i="10"/>
  <c r="Q172" i="10"/>
  <c r="A172" i="10"/>
  <c r="Q171" i="10"/>
  <c r="A171" i="10"/>
  <c r="Q170" i="10"/>
  <c r="A170" i="10"/>
  <c r="Q169" i="10"/>
  <c r="A169" i="10"/>
  <c r="Q168" i="10"/>
  <c r="A168" i="10"/>
  <c r="Q167" i="10"/>
  <c r="A167" i="10"/>
  <c r="Q166" i="10"/>
  <c r="A166" i="10"/>
  <c r="Q165" i="10"/>
  <c r="A165" i="10"/>
  <c r="Q164" i="10"/>
  <c r="A164" i="10"/>
  <c r="Q163" i="10"/>
  <c r="A163" i="10"/>
  <c r="Q162" i="10"/>
  <c r="A162" i="10"/>
  <c r="Q161" i="10"/>
  <c r="A161" i="10"/>
  <c r="Q160" i="10"/>
  <c r="A160" i="10"/>
  <c r="Q159" i="10"/>
  <c r="A159" i="10"/>
  <c r="Q158" i="10"/>
  <c r="A158" i="10"/>
  <c r="Q157" i="10"/>
  <c r="A157" i="10"/>
  <c r="Q156" i="10"/>
  <c r="A156" i="10"/>
  <c r="Q155" i="10"/>
  <c r="A155" i="10"/>
  <c r="Q154" i="10"/>
  <c r="A154" i="10"/>
  <c r="Q153" i="10"/>
  <c r="A153" i="10"/>
  <c r="Q152" i="10"/>
  <c r="A152" i="10"/>
  <c r="Q151" i="10"/>
  <c r="A151" i="10"/>
  <c r="Q150" i="10"/>
  <c r="A150" i="10"/>
  <c r="Q149" i="10"/>
  <c r="A149" i="10"/>
  <c r="Q148" i="10"/>
  <c r="A148" i="10"/>
  <c r="Q147" i="10"/>
  <c r="A147" i="10"/>
  <c r="Q146" i="10"/>
  <c r="A146" i="10"/>
  <c r="Q145" i="10"/>
  <c r="A145" i="10"/>
  <c r="Q144" i="10"/>
  <c r="A144" i="10"/>
  <c r="Q143" i="10"/>
  <c r="A143" i="10"/>
  <c r="Q142" i="10"/>
  <c r="A142" i="10"/>
  <c r="Q141" i="10"/>
  <c r="A141" i="10"/>
  <c r="Q140" i="10"/>
  <c r="A140" i="10"/>
  <c r="Q139" i="10"/>
  <c r="A139" i="10"/>
  <c r="Q138" i="10"/>
  <c r="A138" i="10"/>
  <c r="Q137" i="10"/>
  <c r="A137" i="10"/>
  <c r="Q136" i="10"/>
  <c r="A136" i="10"/>
  <c r="Q135" i="10"/>
  <c r="A135" i="10"/>
  <c r="Q134" i="10"/>
  <c r="A134" i="10"/>
  <c r="Q133" i="10"/>
  <c r="A133" i="10"/>
  <c r="Q132" i="10"/>
  <c r="A132" i="10"/>
  <c r="Q131" i="10"/>
  <c r="A131" i="10"/>
  <c r="Q130" i="10"/>
  <c r="A130" i="10"/>
  <c r="Q129" i="10"/>
  <c r="A129" i="10"/>
  <c r="Q128" i="10"/>
  <c r="A128" i="10"/>
  <c r="Q127" i="10"/>
  <c r="A127" i="10"/>
  <c r="Q126" i="10"/>
  <c r="A126" i="10"/>
  <c r="Q125" i="10"/>
  <c r="A125" i="10"/>
  <c r="Q124" i="10"/>
  <c r="A124" i="10"/>
  <c r="Q123" i="10"/>
  <c r="A123" i="10"/>
  <c r="Q122" i="10"/>
  <c r="A122" i="10"/>
  <c r="Q121" i="10"/>
  <c r="A121" i="10"/>
  <c r="Q120" i="10"/>
  <c r="A120" i="10"/>
  <c r="Q119" i="10"/>
  <c r="A119" i="10"/>
  <c r="Q118" i="10"/>
  <c r="A118" i="10"/>
  <c r="Q117" i="10"/>
  <c r="A117" i="10"/>
  <c r="Q116" i="10"/>
  <c r="A116" i="10"/>
  <c r="Q115" i="10"/>
  <c r="A115" i="10"/>
  <c r="Q114" i="10"/>
  <c r="A114" i="10"/>
  <c r="Q113" i="10"/>
  <c r="A113" i="10"/>
  <c r="Q112" i="10"/>
  <c r="A112" i="10"/>
  <c r="Q111" i="10"/>
  <c r="A111" i="10"/>
  <c r="Q110" i="10"/>
  <c r="A110" i="10"/>
  <c r="Q109" i="10"/>
  <c r="A109" i="10"/>
  <c r="Q108" i="10"/>
  <c r="A108" i="10"/>
  <c r="Q107" i="10"/>
  <c r="A107" i="10"/>
  <c r="Q106" i="10"/>
  <c r="A106" i="10"/>
  <c r="Q105" i="10"/>
  <c r="A105" i="10"/>
  <c r="Q104" i="10"/>
  <c r="A104" i="10"/>
  <c r="Q103" i="10"/>
  <c r="A103" i="10"/>
  <c r="Q102" i="10"/>
  <c r="A102" i="10"/>
  <c r="Q101" i="10"/>
  <c r="A101" i="10"/>
  <c r="Q100" i="10"/>
  <c r="A100" i="10"/>
  <c r="Q99" i="10"/>
  <c r="A99" i="10"/>
  <c r="Q98" i="10"/>
  <c r="A98" i="10"/>
  <c r="Q97" i="10"/>
  <c r="A97" i="10"/>
  <c r="Q96" i="10"/>
  <c r="A96" i="10"/>
  <c r="Q95" i="10"/>
  <c r="A95" i="10"/>
  <c r="Q94" i="10"/>
  <c r="A94" i="10"/>
  <c r="Q93" i="10"/>
  <c r="A93" i="10"/>
  <c r="Q92" i="10"/>
  <c r="A92" i="10"/>
  <c r="Q91" i="10"/>
  <c r="A91" i="10"/>
  <c r="Q90" i="10"/>
  <c r="A90" i="10"/>
  <c r="Q89" i="10"/>
  <c r="A89" i="10"/>
  <c r="Q88" i="10"/>
  <c r="A88" i="10"/>
  <c r="Q87" i="10"/>
  <c r="A87" i="10"/>
  <c r="Q86" i="10"/>
  <c r="A86" i="10"/>
  <c r="Q85" i="10"/>
  <c r="A85" i="10"/>
  <c r="Q84" i="10"/>
  <c r="A84" i="10"/>
  <c r="Q83" i="10"/>
  <c r="A83" i="10"/>
  <c r="Q82" i="10"/>
  <c r="A82" i="10"/>
  <c r="Q81" i="10"/>
  <c r="A81" i="10"/>
  <c r="Q80" i="10"/>
  <c r="A80" i="10"/>
  <c r="Q79" i="10"/>
  <c r="A79" i="10"/>
  <c r="Q78" i="10"/>
  <c r="A78" i="10"/>
  <c r="Q77" i="10"/>
  <c r="A77" i="10"/>
  <c r="Q76" i="10"/>
  <c r="A76" i="10"/>
  <c r="Q75" i="10"/>
  <c r="A75" i="10"/>
  <c r="Q74" i="10"/>
  <c r="A74" i="10"/>
  <c r="Q73" i="10"/>
  <c r="A73" i="10"/>
  <c r="Q72" i="10"/>
  <c r="A72" i="10"/>
  <c r="Q71" i="10"/>
  <c r="A71" i="10"/>
  <c r="Q70" i="10"/>
  <c r="A70" i="10"/>
  <c r="Q69" i="10"/>
  <c r="A69" i="10"/>
  <c r="Q68" i="10"/>
  <c r="A68" i="10"/>
  <c r="Q67" i="10"/>
  <c r="A67" i="10"/>
  <c r="Q66" i="10"/>
  <c r="A66" i="10"/>
  <c r="Q65" i="10"/>
  <c r="A65" i="10"/>
  <c r="Q64" i="10"/>
  <c r="A64" i="10"/>
  <c r="Q63" i="10"/>
  <c r="A63" i="10"/>
  <c r="Q62" i="10"/>
  <c r="A62" i="10"/>
  <c r="Q61" i="10"/>
  <c r="A61" i="10"/>
  <c r="Q60" i="10"/>
  <c r="A60" i="10"/>
  <c r="Q59" i="10"/>
  <c r="A59" i="10"/>
  <c r="Q58" i="10"/>
  <c r="A58" i="10"/>
  <c r="Q57" i="10"/>
  <c r="A57" i="10"/>
  <c r="Q56" i="10"/>
  <c r="A56" i="10"/>
  <c r="Q55" i="10"/>
  <c r="A55" i="10"/>
  <c r="Q54" i="10"/>
  <c r="A54" i="10"/>
  <c r="Q53" i="10"/>
  <c r="A53" i="10"/>
  <c r="Q52" i="10"/>
  <c r="A52" i="10"/>
  <c r="Q51" i="10"/>
  <c r="A51" i="10"/>
  <c r="Q50" i="10"/>
  <c r="A50" i="10"/>
  <c r="Q49" i="10"/>
  <c r="A49" i="10"/>
  <c r="Q48" i="10"/>
  <c r="A48" i="10"/>
  <c r="Q47" i="10"/>
  <c r="A47" i="10"/>
  <c r="Q46" i="10"/>
  <c r="A46" i="10"/>
  <c r="Q45" i="10"/>
  <c r="A45" i="10"/>
  <c r="Q44" i="10"/>
  <c r="A44" i="10"/>
  <c r="Q43" i="10"/>
  <c r="A43" i="10"/>
  <c r="Q42" i="10"/>
  <c r="A42" i="10"/>
  <c r="Q41" i="10"/>
  <c r="A41" i="10"/>
  <c r="Q40" i="10"/>
  <c r="A40" i="10"/>
  <c r="Q39" i="10"/>
  <c r="A39" i="10"/>
  <c r="Q38" i="10"/>
  <c r="A38" i="10"/>
  <c r="Q37" i="10"/>
  <c r="A37" i="10"/>
  <c r="Q36" i="10"/>
  <c r="A36" i="10"/>
  <c r="Q35" i="10"/>
  <c r="A35" i="10"/>
  <c r="Q34" i="10"/>
  <c r="A34" i="10"/>
  <c r="Q33" i="10"/>
  <c r="A33" i="10"/>
  <c r="Q32" i="10"/>
  <c r="A32" i="10"/>
  <c r="Q31" i="10"/>
  <c r="A31" i="10"/>
  <c r="Q30" i="10"/>
  <c r="A30" i="10"/>
  <c r="Q29" i="10"/>
  <c r="A29" i="10"/>
  <c r="Q28" i="10"/>
  <c r="A28" i="10"/>
  <c r="Q27" i="10"/>
  <c r="A27" i="10"/>
  <c r="Q26" i="10"/>
  <c r="A26" i="10"/>
  <c r="Q25" i="10"/>
  <c r="A25" i="10"/>
  <c r="Q24" i="10"/>
  <c r="A24" i="10"/>
  <c r="Q23" i="10"/>
  <c r="A23" i="10"/>
  <c r="Q22" i="10"/>
  <c r="A22" i="10"/>
  <c r="Q21" i="10"/>
  <c r="A21" i="10"/>
  <c r="Q20" i="10"/>
  <c r="A20" i="10"/>
  <c r="Q19" i="10"/>
  <c r="A19" i="10"/>
  <c r="Q18" i="10"/>
  <c r="A18" i="10"/>
  <c r="Q17" i="10"/>
  <c r="A17" i="10"/>
  <c r="Q16" i="10"/>
  <c r="A16" i="10"/>
  <c r="Q15" i="10"/>
  <c r="A15" i="10"/>
  <c r="Q14" i="10"/>
  <c r="A14" i="10"/>
  <c r="Q13" i="10"/>
  <c r="A13" i="10"/>
  <c r="Q12" i="10"/>
  <c r="A12" i="10"/>
  <c r="Q11" i="10"/>
  <c r="A11" i="10"/>
  <c r="Q10" i="10"/>
  <c r="A10" i="10"/>
  <c r="Q9" i="10"/>
  <c r="A9" i="10"/>
  <c r="Q8" i="10"/>
  <c r="A8" i="10"/>
  <c r="Q7" i="10"/>
  <c r="A7" i="10"/>
  <c r="Q6" i="10"/>
  <c r="A6" i="10"/>
  <c r="Q5" i="10"/>
  <c r="A5" i="10"/>
  <c r="Q4" i="10"/>
  <c r="A4" i="10"/>
  <c r="Q3" i="10"/>
  <c r="A3" i="10"/>
  <c r="Q2" i="10"/>
  <c r="A2" i="10"/>
  <c r="C7" i="7"/>
  <c r="C6" i="7"/>
  <c r="C5" i="7"/>
  <c r="C4" i="7"/>
  <c r="C3" i="7"/>
  <c r="C2" i="7"/>
  <c r="T13" i="5"/>
  <c r="W11" i="5"/>
  <c r="W9" i="5"/>
  <c r="B10" i="4"/>
  <c r="L5" i="4"/>
  <c r="K5" i="4"/>
  <c r="J5" i="4"/>
  <c r="H5" i="4"/>
  <c r="I5" i="4" s="1"/>
  <c r="F5" i="4"/>
  <c r="I6" i="3"/>
  <c r="O2" i="3"/>
  <c r="AC320" i="2"/>
  <c r="AC319" i="2"/>
  <c r="AC318" i="2"/>
  <c r="AC317" i="2"/>
  <c r="AC316" i="2"/>
  <c r="AC315" i="2"/>
  <c r="AC314" i="2"/>
  <c r="AC313" i="2"/>
  <c r="AC312" i="2"/>
  <c r="AC311" i="2"/>
  <c r="AC310" i="2"/>
  <c r="AC309" i="2"/>
  <c r="AC308" i="2"/>
  <c r="AC307" i="2"/>
  <c r="AC306" i="2"/>
  <c r="AC305" i="2"/>
  <c r="AC304" i="2"/>
  <c r="AC303" i="2"/>
  <c r="AC302" i="2"/>
  <c r="AC301" i="2"/>
  <c r="AC300" i="2"/>
  <c r="AC299" i="2"/>
  <c r="AC298" i="2"/>
  <c r="AC297" i="2"/>
  <c r="AC296" i="2"/>
  <c r="AC295" i="2"/>
  <c r="AC294" i="2"/>
  <c r="AC293" i="2"/>
  <c r="AC292" i="2"/>
  <c r="AC291" i="2"/>
  <c r="AC290" i="2"/>
  <c r="AC289" i="2"/>
  <c r="AC288" i="2"/>
  <c r="AC287" i="2"/>
  <c r="AC286" i="2"/>
  <c r="AC285" i="2"/>
  <c r="AC284" i="2"/>
  <c r="AC283" i="2"/>
  <c r="AC282" i="2"/>
  <c r="AC281" i="2"/>
  <c r="AC280" i="2"/>
  <c r="AC279" i="2"/>
  <c r="AC278" i="2"/>
  <c r="AC277" i="2"/>
  <c r="AC276" i="2"/>
  <c r="AC275" i="2"/>
  <c r="AC274" i="2"/>
  <c r="AC273" i="2"/>
  <c r="AC272" i="2"/>
  <c r="AC271" i="2"/>
  <c r="AC270" i="2"/>
  <c r="AC269" i="2"/>
  <c r="AC268" i="2"/>
  <c r="AC267" i="2"/>
  <c r="AC266" i="2"/>
  <c r="AC265" i="2"/>
  <c r="AC264" i="2"/>
  <c r="AC263" i="2"/>
  <c r="AC262" i="2"/>
  <c r="AC261" i="2"/>
  <c r="AC260" i="2"/>
  <c r="AC259" i="2"/>
  <c r="AC258" i="2"/>
  <c r="AC257" i="2"/>
  <c r="AC256" i="2"/>
  <c r="AC255" i="2"/>
  <c r="AC254" i="2"/>
  <c r="AC253" i="2"/>
  <c r="AC252" i="2"/>
  <c r="AC251" i="2"/>
  <c r="AC250" i="2"/>
  <c r="AC249" i="2"/>
  <c r="AC248" i="2"/>
  <c r="AC247" i="2"/>
  <c r="AC246" i="2"/>
  <c r="AC245" i="2"/>
  <c r="AC244" i="2"/>
  <c r="AC243" i="2"/>
  <c r="AC242" i="2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H188" i="2"/>
  <c r="AC187" i="2"/>
  <c r="H187" i="2"/>
  <c r="AC186" i="2"/>
  <c r="H186" i="2"/>
  <c r="AC185" i="2"/>
  <c r="H185" i="2"/>
  <c r="AC184" i="2"/>
  <c r="H184" i="2"/>
  <c r="AC183" i="2"/>
  <c r="H183" i="2"/>
  <c r="AC182" i="2"/>
  <c r="H182" i="2"/>
  <c r="AC181" i="2"/>
  <c r="H181" i="2"/>
  <c r="AC180" i="2"/>
  <c r="H180" i="2"/>
  <c r="AC179" i="2"/>
  <c r="H179" i="2"/>
  <c r="AC178" i="2"/>
  <c r="H178" i="2"/>
  <c r="AC177" i="2"/>
  <c r="H177" i="2"/>
  <c r="AC176" i="2"/>
  <c r="H176" i="2"/>
  <c r="AC175" i="2"/>
  <c r="H175" i="2"/>
  <c r="AC174" i="2"/>
  <c r="H174" i="2"/>
  <c r="AC173" i="2"/>
  <c r="H173" i="2"/>
  <c r="AC172" i="2"/>
  <c r="H172" i="2"/>
  <c r="AC171" i="2"/>
  <c r="H171" i="2"/>
  <c r="AC170" i="2"/>
  <c r="H170" i="2"/>
  <c r="AC169" i="2"/>
  <c r="H169" i="2"/>
  <c r="AC168" i="2"/>
  <c r="H168" i="2"/>
  <c r="AC167" i="2"/>
  <c r="H167" i="2"/>
  <c r="AC166" i="2"/>
  <c r="H166" i="2"/>
  <c r="AC165" i="2"/>
  <c r="H165" i="2"/>
  <c r="AC164" i="2"/>
  <c r="H164" i="2"/>
  <c r="AC163" i="2"/>
  <c r="H163" i="2"/>
  <c r="AC162" i="2"/>
  <c r="H162" i="2"/>
  <c r="AC161" i="2"/>
  <c r="H161" i="2"/>
  <c r="AC160" i="2"/>
  <c r="H160" i="2"/>
  <c r="AC159" i="2"/>
  <c r="H159" i="2"/>
  <c r="AC158" i="2"/>
  <c r="H158" i="2"/>
  <c r="AC157" i="2"/>
  <c r="H157" i="2"/>
  <c r="AC156" i="2"/>
  <c r="H156" i="2"/>
  <c r="AC155" i="2"/>
  <c r="H155" i="2"/>
  <c r="AC154" i="2"/>
  <c r="H154" i="2"/>
  <c r="AC153" i="2"/>
  <c r="H153" i="2"/>
  <c r="AC152" i="2"/>
  <c r="H152" i="2"/>
  <c r="AC151" i="2"/>
  <c r="H151" i="2"/>
  <c r="AC150" i="2"/>
  <c r="H150" i="2"/>
  <c r="AC149" i="2"/>
  <c r="H149" i="2"/>
  <c r="AC148" i="2"/>
  <c r="H148" i="2"/>
  <c r="AC147" i="2"/>
  <c r="H147" i="2"/>
  <c r="AC146" i="2"/>
  <c r="H146" i="2"/>
  <c r="AC145" i="2"/>
  <c r="H145" i="2"/>
  <c r="AC144" i="2"/>
  <c r="H144" i="2"/>
  <c r="AC143" i="2"/>
  <c r="H143" i="2"/>
  <c r="AC142" i="2"/>
  <c r="H142" i="2"/>
  <c r="AC141" i="2"/>
  <c r="H141" i="2"/>
  <c r="AC140" i="2"/>
  <c r="H140" i="2"/>
  <c r="AC139" i="2"/>
  <c r="H139" i="2"/>
  <c r="AC138" i="2"/>
  <c r="H138" i="2"/>
  <c r="AC137" i="2"/>
  <c r="H137" i="2"/>
  <c r="AC136" i="2"/>
  <c r="AD136" i="2" s="1"/>
  <c r="H136" i="2"/>
  <c r="AD135" i="2"/>
  <c r="AC135" i="2"/>
  <c r="H135" i="2"/>
  <c r="AD134" i="2"/>
  <c r="AC134" i="2"/>
  <c r="H134" i="2"/>
  <c r="AC133" i="2"/>
  <c r="AD133" i="2" s="1"/>
  <c r="H133" i="2"/>
  <c r="AC132" i="2"/>
  <c r="AD132" i="2" s="1"/>
  <c r="H132" i="2"/>
  <c r="AD131" i="2"/>
  <c r="AC131" i="2"/>
  <c r="H131" i="2"/>
  <c r="AD130" i="2"/>
  <c r="AC130" i="2"/>
  <c r="H130" i="2"/>
  <c r="AC129" i="2"/>
  <c r="AD129" i="2" s="1"/>
  <c r="H129" i="2"/>
  <c r="AC128" i="2"/>
  <c r="AD128" i="2" s="1"/>
  <c r="H128" i="2"/>
  <c r="AD127" i="2"/>
  <c r="AC127" i="2"/>
  <c r="H127" i="2"/>
  <c r="AD126" i="2"/>
  <c r="AC126" i="2"/>
  <c r="H126" i="2"/>
  <c r="AC125" i="2"/>
  <c r="AD125" i="2" s="1"/>
  <c r="H125" i="2"/>
  <c r="AC124" i="2"/>
  <c r="AD124" i="2" s="1"/>
  <c r="H124" i="2"/>
  <c r="AD123" i="2"/>
  <c r="AC123" i="2"/>
  <c r="H123" i="2"/>
  <c r="AD122" i="2"/>
  <c r="AC122" i="2"/>
  <c r="H122" i="2"/>
  <c r="AC121" i="2"/>
  <c r="AD121" i="2" s="1"/>
  <c r="H121" i="2"/>
  <c r="AC120" i="2"/>
  <c r="AD120" i="2" s="1"/>
  <c r="H120" i="2"/>
  <c r="AD119" i="2"/>
  <c r="AC119" i="2"/>
  <c r="H119" i="2"/>
  <c r="AD118" i="2"/>
  <c r="AC118" i="2"/>
  <c r="H118" i="2"/>
  <c r="AC117" i="2"/>
  <c r="AD117" i="2" s="1"/>
  <c r="H117" i="2"/>
  <c r="AC116" i="2"/>
  <c r="AD116" i="2" s="1"/>
  <c r="H116" i="2"/>
  <c r="AD115" i="2"/>
  <c r="AC115" i="2"/>
  <c r="H115" i="2"/>
  <c r="AD114" i="2"/>
  <c r="AC114" i="2"/>
  <c r="H114" i="2"/>
  <c r="AC113" i="2"/>
  <c r="AD113" i="2" s="1"/>
  <c r="H113" i="2"/>
  <c r="AC112" i="2"/>
  <c r="AD112" i="2" s="1"/>
  <c r="H112" i="2"/>
  <c r="AD111" i="2"/>
  <c r="AC111" i="2"/>
  <c r="H111" i="2"/>
  <c r="AD110" i="2"/>
  <c r="AC110" i="2"/>
  <c r="H110" i="2"/>
  <c r="AC109" i="2"/>
  <c r="AD109" i="2" s="1"/>
  <c r="H109" i="2"/>
  <c r="AC108" i="2"/>
  <c r="AD108" i="2" s="1"/>
  <c r="H108" i="2"/>
  <c r="AD107" i="2"/>
  <c r="AC107" i="2"/>
  <c r="H107" i="2"/>
  <c r="AD106" i="2"/>
  <c r="AC106" i="2"/>
  <c r="H106" i="2"/>
  <c r="AC105" i="2"/>
  <c r="AD105" i="2" s="1"/>
  <c r="H105" i="2"/>
  <c r="AC104" i="2"/>
  <c r="AD104" i="2" s="1"/>
  <c r="H104" i="2"/>
  <c r="AD103" i="2"/>
  <c r="AC103" i="2"/>
  <c r="H103" i="2"/>
  <c r="AD102" i="2"/>
  <c r="AC102" i="2"/>
  <c r="H102" i="2"/>
  <c r="AC101" i="2"/>
  <c r="AD101" i="2" s="1"/>
  <c r="H101" i="2"/>
  <c r="AC100" i="2"/>
  <c r="AD100" i="2" s="1"/>
  <c r="H100" i="2"/>
  <c r="AD99" i="2"/>
  <c r="AC99" i="2"/>
  <c r="H99" i="2"/>
  <c r="AD98" i="2"/>
  <c r="AC98" i="2"/>
  <c r="H98" i="2"/>
  <c r="AC97" i="2"/>
  <c r="AD97" i="2" s="1"/>
  <c r="H97" i="2"/>
  <c r="AC96" i="2"/>
  <c r="AD96" i="2" s="1"/>
  <c r="H96" i="2"/>
  <c r="AD95" i="2"/>
  <c r="AC95" i="2"/>
  <c r="H95" i="2"/>
  <c r="AD94" i="2"/>
  <c r="AC94" i="2"/>
  <c r="H94" i="2"/>
  <c r="AC93" i="2"/>
  <c r="AD93" i="2" s="1"/>
  <c r="H93" i="2"/>
  <c r="AC92" i="2"/>
  <c r="AD92" i="2" s="1"/>
  <c r="H92" i="2"/>
  <c r="AD91" i="2"/>
  <c r="AC91" i="2"/>
  <c r="H91" i="2"/>
  <c r="AD90" i="2"/>
  <c r="AC90" i="2"/>
  <c r="H90" i="2"/>
  <c r="AC89" i="2"/>
  <c r="AD89" i="2" s="1"/>
  <c r="H89" i="2"/>
  <c r="AC88" i="2"/>
  <c r="AD88" i="2" s="1"/>
  <c r="H88" i="2"/>
  <c r="AD87" i="2"/>
  <c r="AC87" i="2"/>
  <c r="H87" i="2"/>
  <c r="AD86" i="2"/>
  <c r="AC86" i="2"/>
  <c r="H86" i="2"/>
  <c r="AC85" i="2"/>
  <c r="AD85" i="2" s="1"/>
  <c r="H85" i="2"/>
  <c r="AC84" i="2"/>
  <c r="AD84" i="2" s="1"/>
  <c r="H84" i="2"/>
  <c r="AD83" i="2"/>
  <c r="AC83" i="2"/>
  <c r="H83" i="2"/>
  <c r="AD82" i="2"/>
  <c r="AC82" i="2"/>
  <c r="H82" i="2"/>
  <c r="AC81" i="2"/>
  <c r="AD81" i="2" s="1"/>
  <c r="H81" i="2"/>
  <c r="AC80" i="2"/>
  <c r="AD80" i="2" s="1"/>
  <c r="H80" i="2"/>
  <c r="AD79" i="2"/>
  <c r="AC79" i="2"/>
  <c r="H79" i="2"/>
  <c r="AD78" i="2"/>
  <c r="AC78" i="2"/>
  <c r="H78" i="2"/>
  <c r="AC77" i="2"/>
  <c r="AD77" i="2" s="1"/>
  <c r="H77" i="2"/>
  <c r="AC76" i="2"/>
  <c r="AD76" i="2" s="1"/>
  <c r="H76" i="2"/>
  <c r="AD75" i="2"/>
  <c r="AC75" i="2"/>
  <c r="H75" i="2"/>
  <c r="AD74" i="2"/>
  <c r="AC74" i="2"/>
  <c r="H74" i="2"/>
  <c r="AC73" i="2"/>
  <c r="AD73" i="2" s="1"/>
  <c r="H73" i="2"/>
  <c r="AC72" i="2"/>
  <c r="AD72" i="2" s="1"/>
  <c r="H72" i="2"/>
  <c r="AD71" i="2"/>
  <c r="AC71" i="2"/>
  <c r="H71" i="2"/>
  <c r="AD70" i="2"/>
  <c r="AC70" i="2"/>
  <c r="H70" i="2"/>
  <c r="AC69" i="2"/>
  <c r="AD69" i="2" s="1"/>
  <c r="H69" i="2"/>
  <c r="AC68" i="2"/>
  <c r="AD68" i="2" s="1"/>
  <c r="H68" i="2"/>
  <c r="AD67" i="2"/>
  <c r="AC67" i="2"/>
  <c r="H67" i="2"/>
  <c r="AD66" i="2"/>
  <c r="AC66" i="2"/>
  <c r="H66" i="2"/>
  <c r="AC65" i="2"/>
  <c r="AD65" i="2" s="1"/>
  <c r="H65" i="2"/>
  <c r="AC64" i="2"/>
  <c r="AD64" i="2" s="1"/>
  <c r="H64" i="2"/>
  <c r="AD63" i="2"/>
  <c r="AC63" i="2"/>
  <c r="H63" i="2"/>
  <c r="AD62" i="2"/>
  <c r="AC62" i="2"/>
  <c r="H62" i="2"/>
  <c r="AC61" i="2"/>
  <c r="AD61" i="2" s="1"/>
  <c r="H61" i="2"/>
  <c r="AC60" i="2"/>
  <c r="AD60" i="2" s="1"/>
  <c r="H60" i="2"/>
  <c r="AD59" i="2"/>
  <c r="AC59" i="2"/>
  <c r="H59" i="2"/>
  <c r="AD58" i="2"/>
  <c r="AC58" i="2"/>
  <c r="H58" i="2"/>
  <c r="AC57" i="2"/>
  <c r="AD57" i="2" s="1"/>
  <c r="H57" i="2"/>
  <c r="AC56" i="2"/>
  <c r="AD56" i="2" s="1"/>
  <c r="H56" i="2"/>
  <c r="AD55" i="2"/>
  <c r="AC55" i="2"/>
  <c r="H55" i="2"/>
  <c r="AD54" i="2"/>
  <c r="AC54" i="2"/>
  <c r="H54" i="2"/>
  <c r="AC53" i="2"/>
  <c r="AD53" i="2" s="1"/>
  <c r="H53" i="2"/>
  <c r="AC52" i="2"/>
  <c r="AD52" i="2" s="1"/>
  <c r="H52" i="2"/>
  <c r="AD51" i="2"/>
  <c r="AC51" i="2"/>
  <c r="H51" i="2"/>
  <c r="AD50" i="2"/>
  <c r="AC50" i="2"/>
  <c r="H50" i="2"/>
  <c r="AC49" i="2"/>
  <c r="AD49" i="2" s="1"/>
  <c r="H49" i="2"/>
  <c r="AC48" i="2"/>
  <c r="AD48" i="2" s="1"/>
  <c r="H48" i="2"/>
  <c r="AD47" i="2"/>
  <c r="AC47" i="2"/>
  <c r="H47" i="2"/>
  <c r="AD46" i="2"/>
  <c r="AC46" i="2"/>
  <c r="H46" i="2"/>
  <c r="AC45" i="2"/>
  <c r="AD45" i="2" s="1"/>
  <c r="H45" i="2"/>
  <c r="AC44" i="2"/>
  <c r="AD44" i="2" s="1"/>
  <c r="H44" i="2"/>
  <c r="AD43" i="2"/>
  <c r="AC43" i="2"/>
  <c r="H43" i="2"/>
  <c r="AD42" i="2"/>
  <c r="AC42" i="2"/>
  <c r="H42" i="2"/>
  <c r="AC41" i="2"/>
  <c r="AD41" i="2" s="1"/>
  <c r="H41" i="2"/>
  <c r="AC40" i="2"/>
  <c r="AD40" i="2" s="1"/>
  <c r="H40" i="2"/>
  <c r="AD39" i="2"/>
  <c r="AC39" i="2"/>
  <c r="H39" i="2"/>
  <c r="AD38" i="2"/>
  <c r="AC38" i="2"/>
  <c r="H38" i="2"/>
  <c r="AC37" i="2"/>
  <c r="AD37" i="2" s="1"/>
  <c r="H37" i="2"/>
  <c r="AC36" i="2"/>
  <c r="AD36" i="2" s="1"/>
  <c r="H36" i="2"/>
  <c r="AD35" i="2"/>
  <c r="AC35" i="2"/>
  <c r="H35" i="2"/>
  <c r="AD34" i="2"/>
  <c r="AC34" i="2"/>
  <c r="H34" i="2"/>
  <c r="AC33" i="2"/>
  <c r="AD33" i="2" s="1"/>
  <c r="H33" i="2"/>
  <c r="AC32" i="2"/>
  <c r="AD32" i="2" s="1"/>
  <c r="H32" i="2"/>
  <c r="AD31" i="2"/>
  <c r="AC31" i="2"/>
  <c r="H31" i="2"/>
  <c r="AD30" i="2"/>
  <c r="AC30" i="2"/>
  <c r="H30" i="2"/>
  <c r="AC29" i="2"/>
  <c r="AD29" i="2" s="1"/>
  <c r="H29" i="2"/>
  <c r="AC28" i="2"/>
  <c r="AD28" i="2" s="1"/>
  <c r="H28" i="2"/>
  <c r="AD27" i="2"/>
  <c r="AC27" i="2"/>
  <c r="H27" i="2"/>
  <c r="AD26" i="2"/>
  <c r="AC26" i="2"/>
  <c r="H26" i="2"/>
  <c r="AC25" i="2"/>
  <c r="AD25" i="2" s="1"/>
  <c r="H25" i="2"/>
  <c r="AC24" i="2"/>
  <c r="AD24" i="2" s="1"/>
  <c r="H24" i="2"/>
  <c r="AD23" i="2"/>
  <c r="AC23" i="2"/>
  <c r="H23" i="2"/>
  <c r="AD22" i="2"/>
  <c r="AC22" i="2"/>
  <c r="H22" i="2"/>
  <c r="AC21" i="2"/>
  <c r="AD21" i="2" s="1"/>
  <c r="H21" i="2"/>
  <c r="AC20" i="2"/>
  <c r="AD20" i="2" s="1"/>
  <c r="H20" i="2"/>
  <c r="AD19" i="2"/>
  <c r="AC19" i="2"/>
  <c r="H19" i="2"/>
  <c r="AD18" i="2"/>
  <c r="AC18" i="2"/>
  <c r="H18" i="2"/>
  <c r="AC17" i="2"/>
  <c r="AD17" i="2" s="1"/>
  <c r="H17" i="2"/>
  <c r="AC16" i="2"/>
  <c r="AD16" i="2" s="1"/>
  <c r="H16" i="2"/>
  <c r="AD15" i="2"/>
  <c r="AC15" i="2"/>
  <c r="H15" i="2"/>
  <c r="AD14" i="2"/>
  <c r="AC14" i="2"/>
  <c r="H14" i="2"/>
  <c r="AC13" i="2"/>
  <c r="AD13" i="2" s="1"/>
  <c r="H13" i="2"/>
  <c r="AC12" i="2"/>
  <c r="AD12" i="2" s="1"/>
  <c r="H12" i="2"/>
  <c r="AI11" i="2"/>
  <c r="AH11" i="2"/>
  <c r="AF11" i="2"/>
  <c r="AG11" i="2" s="1"/>
  <c r="AD11" i="2"/>
  <c r="AC11" i="2"/>
  <c r="H11" i="2"/>
  <c r="AD10" i="2"/>
  <c r="AC10" i="2"/>
  <c r="H10" i="2"/>
  <c r="H9" i="2"/>
  <c r="AC7" i="2"/>
  <c r="F2" i="3" s="1"/>
  <c r="E2" i="3" s="1"/>
  <c r="P3" i="3"/>
  <c r="P2" i="3" l="1"/>
  <c r="A2" i="3"/>
  <c r="AE5" i="2"/>
  <c r="AF5" i="2" s="1"/>
  <c r="AE4" i="2"/>
  <c r="AF4" i="2" s="1"/>
  <c r="AE3" i="2"/>
  <c r="AF3" i="2" s="1"/>
  <c r="R4" i="5"/>
  <c r="A17" i="3"/>
  <c r="I17" i="3"/>
  <c r="E6" i="4"/>
  <c r="F6" i="4"/>
  <c r="E5" i="4"/>
  <c r="E8" i="4"/>
  <c r="F8" i="4" s="1"/>
  <c r="E9" i="4"/>
  <c r="F9" i="4"/>
  <c r="G2" i="7"/>
  <c r="E7" i="4"/>
  <c r="F7" i="4" s="1"/>
  <c r="I64" i="3" l="1"/>
  <c r="I39" i="3"/>
  <c r="O17" i="3"/>
  <c r="S13" i="5"/>
  <c r="I16" i="3"/>
  <c r="B17" i="3"/>
  <c r="I18" i="3"/>
  <c r="G2" i="3"/>
  <c r="R2" i="5" s="1"/>
  <c r="I4" i="3"/>
  <c r="H2" i="7"/>
  <c r="J2" i="7"/>
  <c r="AH4" i="2"/>
  <c r="AI4" i="2" s="1"/>
  <c r="AG4" i="2"/>
  <c r="AH5" i="2"/>
  <c r="AI5" i="2" s="1"/>
  <c r="AG5" i="2"/>
  <c r="I2" i="7"/>
  <c r="AG3" i="2"/>
  <c r="AH3" i="2"/>
  <c r="AI3" i="2" s="1"/>
  <c r="V16" i="3"/>
  <c r="X16" i="3" l="1"/>
  <c r="Z16" i="3"/>
  <c r="AC16" i="3" s="1"/>
  <c r="AO16" i="3" s="1"/>
  <c r="W16" i="3"/>
  <c r="Y16" i="3" s="1"/>
  <c r="AJ11" i="2"/>
  <c r="AH17" i="3"/>
  <c r="V18" i="3"/>
  <c r="V17" i="3"/>
  <c r="AF17" i="3" s="1"/>
  <c r="V64" i="3"/>
  <c r="V65" i="3"/>
  <c r="AH16" i="3"/>
  <c r="AH18" i="3"/>
  <c r="K2" i="7"/>
  <c r="F3" i="7" s="1"/>
  <c r="G3" i="7" s="1"/>
  <c r="I65" i="3"/>
  <c r="S14" i="5"/>
  <c r="I19" i="3"/>
  <c r="B18" i="3"/>
  <c r="I40" i="3"/>
  <c r="O18" i="3"/>
  <c r="M17" i="3"/>
  <c r="N17" i="3" s="1"/>
  <c r="H17" i="3"/>
  <c r="L17" i="3"/>
  <c r="E17" i="3"/>
  <c r="J17" i="3"/>
  <c r="F17" i="3"/>
  <c r="AF16" i="3"/>
  <c r="AD16" i="3"/>
  <c r="AK11" i="2"/>
  <c r="S12" i="5"/>
  <c r="I63" i="3"/>
  <c r="V63" i="3" s="1"/>
  <c r="I38" i="3"/>
  <c r="I15" i="3"/>
  <c r="B16" i="3"/>
  <c r="A16" i="3"/>
  <c r="AE16" i="3" l="1"/>
  <c r="AQ16" i="3" s="1"/>
  <c r="M16" i="3"/>
  <c r="E16" i="3"/>
  <c r="L16" i="3"/>
  <c r="H16" i="3"/>
  <c r="J16" i="3"/>
  <c r="F16" i="3"/>
  <c r="H3" i="7"/>
  <c r="J3" i="7"/>
  <c r="K3" i="7" s="1"/>
  <c r="F4" i="7" s="1"/>
  <c r="G4" i="7" s="1"/>
  <c r="I3" i="7"/>
  <c r="S11" i="5"/>
  <c r="I62" i="3"/>
  <c r="V62" i="3" s="1"/>
  <c r="I37" i="3"/>
  <c r="B15" i="3"/>
  <c r="I14" i="3"/>
  <c r="A15" i="3"/>
  <c r="AH15" i="3"/>
  <c r="D17" i="3"/>
  <c r="Z17" i="3"/>
  <c r="X17" i="3"/>
  <c r="W17" i="3"/>
  <c r="Y17" i="3" s="1"/>
  <c r="V15" i="3"/>
  <c r="AI17" i="3"/>
  <c r="AL17" i="3"/>
  <c r="AJ17" i="3"/>
  <c r="AN17" i="3" s="1"/>
  <c r="P17" i="3"/>
  <c r="AL11" i="2"/>
  <c r="J18" i="3"/>
  <c r="F18" i="3"/>
  <c r="M18" i="3"/>
  <c r="N18" i="3" s="1"/>
  <c r="H18" i="3"/>
  <c r="L18" i="3"/>
  <c r="E18" i="3"/>
  <c r="D18" i="3" s="1"/>
  <c r="S15" i="5"/>
  <c r="I66" i="3"/>
  <c r="V66" i="3" s="1"/>
  <c r="I41" i="3"/>
  <c r="I20" i="3"/>
  <c r="B19" i="3"/>
  <c r="O19" i="3"/>
  <c r="V19" i="3"/>
  <c r="AL18" i="3"/>
  <c r="AI18" i="3"/>
  <c r="AJ18" i="3"/>
  <c r="AN18" i="3" s="1"/>
  <c r="Z65" i="3"/>
  <c r="X65" i="3"/>
  <c r="W65" i="3"/>
  <c r="Y65" i="3" s="1"/>
  <c r="AH19" i="3"/>
  <c r="Z18" i="3"/>
  <c r="W18" i="3"/>
  <c r="Y18" i="3" s="1"/>
  <c r="X18" i="3"/>
  <c r="X63" i="3"/>
  <c r="Z63" i="3"/>
  <c r="W63" i="3"/>
  <c r="Y63" i="3" s="1"/>
  <c r="AF18" i="3"/>
  <c r="AL16" i="3"/>
  <c r="AP16" i="3" s="1"/>
  <c r="AJ16" i="3"/>
  <c r="AN16" i="3" s="1"/>
  <c r="AI16" i="3"/>
  <c r="X64" i="3"/>
  <c r="W64" i="3"/>
  <c r="Y64" i="3" s="1"/>
  <c r="Z64" i="3"/>
  <c r="AB16" i="3"/>
  <c r="AA16" i="3"/>
  <c r="AP18" i="3" l="1"/>
  <c r="AC63" i="3"/>
  <c r="AE63" i="3"/>
  <c r="AD63" i="3"/>
  <c r="AB65" i="3"/>
  <c r="AA65" i="3"/>
  <c r="AC17" i="3"/>
  <c r="AO17" i="3" s="1"/>
  <c r="AD17" i="3"/>
  <c r="AE17" i="3"/>
  <c r="AQ17" i="3" s="1"/>
  <c r="H4" i="7"/>
  <c r="J4" i="7" s="1"/>
  <c r="K4" i="7" s="1"/>
  <c r="F5" i="7" s="1"/>
  <c r="G5" i="7" s="1"/>
  <c r="I4" i="7"/>
  <c r="S16" i="3"/>
  <c r="T38" i="3" s="1"/>
  <c r="U38" i="3" s="1"/>
  <c r="V38" i="3" s="1"/>
  <c r="AB64" i="3"/>
  <c r="AA64" i="3"/>
  <c r="AB63" i="3"/>
  <c r="AA63" i="3"/>
  <c r="AC65" i="3"/>
  <c r="AD65" i="3"/>
  <c r="AE65" i="3"/>
  <c r="X19" i="3"/>
  <c r="Z19" i="3"/>
  <c r="W19" i="3"/>
  <c r="Y19" i="3" s="1"/>
  <c r="AF19" i="3"/>
  <c r="I67" i="3"/>
  <c r="V67" i="3" s="1"/>
  <c r="I42" i="3"/>
  <c r="S16" i="5"/>
  <c r="I21" i="3"/>
  <c r="B20" i="3"/>
  <c r="O20" i="3"/>
  <c r="V20" i="3"/>
  <c r="AH20" i="3"/>
  <c r="Z15" i="3"/>
  <c r="X15" i="3"/>
  <c r="W15" i="3"/>
  <c r="Y15" i="3" s="1"/>
  <c r="AF15" i="3"/>
  <c r="W62" i="3"/>
  <c r="Y62" i="3" s="1"/>
  <c r="X62" i="3"/>
  <c r="Z62" i="3"/>
  <c r="AK16" i="3"/>
  <c r="AM16" i="3"/>
  <c r="T16" i="3" s="1"/>
  <c r="AG38" i="3" s="1"/>
  <c r="AH38" i="3" s="1"/>
  <c r="AL19" i="3"/>
  <c r="AJ19" i="3"/>
  <c r="AN19" i="3" s="1"/>
  <c r="AI19" i="3"/>
  <c r="K18" i="3"/>
  <c r="S10" i="5"/>
  <c r="I61" i="3"/>
  <c r="V61" i="3" s="1"/>
  <c r="I13" i="3"/>
  <c r="I36" i="3"/>
  <c r="B14" i="3"/>
  <c r="A14" i="3"/>
  <c r="V14" i="3"/>
  <c r="AH14" i="3"/>
  <c r="D16" i="3"/>
  <c r="M19" i="3"/>
  <c r="E19" i="3"/>
  <c r="D19" i="3" s="1"/>
  <c r="H19" i="3"/>
  <c r="L19" i="3"/>
  <c r="J19" i="3"/>
  <c r="F19" i="3"/>
  <c r="AK17" i="3"/>
  <c r="AM17" i="3"/>
  <c r="P16" i="3"/>
  <c r="AC18" i="3"/>
  <c r="AO18" i="3" s="1"/>
  <c r="AE18" i="3"/>
  <c r="AQ18" i="3" s="1"/>
  <c r="AD18" i="3"/>
  <c r="AC64" i="3"/>
  <c r="AD64" i="3"/>
  <c r="AE64" i="3"/>
  <c r="AB18" i="3"/>
  <c r="AA18" i="3"/>
  <c r="S18" i="3" s="1"/>
  <c r="T40" i="3" s="1"/>
  <c r="U40" i="3" s="1"/>
  <c r="V40" i="3" s="1"/>
  <c r="AK18" i="3"/>
  <c r="AM18" i="3"/>
  <c r="T18" i="3" s="1"/>
  <c r="AG40" i="3" s="1"/>
  <c r="AH40" i="3" s="1"/>
  <c r="W66" i="3"/>
  <c r="Y66" i="3" s="1"/>
  <c r="Z66" i="3"/>
  <c r="X66" i="3"/>
  <c r="P18" i="3"/>
  <c r="AP17" i="3"/>
  <c r="AB17" i="3"/>
  <c r="AA17" i="3"/>
  <c r="S17" i="3" s="1"/>
  <c r="AI15" i="3"/>
  <c r="AL15" i="3"/>
  <c r="AP15" i="3" s="1"/>
  <c r="AJ15" i="3"/>
  <c r="AN15" i="3" s="1"/>
  <c r="J15" i="3"/>
  <c r="F15" i="3"/>
  <c r="M15" i="3"/>
  <c r="N15" i="3" s="1"/>
  <c r="E15" i="3"/>
  <c r="D15" i="3" s="1"/>
  <c r="L15" i="3"/>
  <c r="H15" i="3"/>
  <c r="N16" i="3"/>
  <c r="K16" i="3" l="1"/>
  <c r="T12" i="5" s="1"/>
  <c r="G16" i="3"/>
  <c r="AP19" i="3"/>
  <c r="H5" i="7"/>
  <c r="J5" i="7" s="1"/>
  <c r="K5" i="7" s="1"/>
  <c r="F6" i="7" s="1"/>
  <c r="G6" i="7" s="1"/>
  <c r="I5" i="7"/>
  <c r="AB66" i="3"/>
  <c r="AA66" i="3"/>
  <c r="P19" i="3"/>
  <c r="L14" i="3"/>
  <c r="H14" i="3"/>
  <c r="J14" i="3"/>
  <c r="F14" i="3"/>
  <c r="M14" i="3"/>
  <c r="N14" i="3" s="1"/>
  <c r="E14" i="3"/>
  <c r="AC62" i="3"/>
  <c r="AE62" i="3"/>
  <c r="AD62" i="3"/>
  <c r="W20" i="3"/>
  <c r="Y20" i="3" s="1"/>
  <c r="Z20" i="3"/>
  <c r="X20" i="3"/>
  <c r="AF20" i="3"/>
  <c r="I68" i="3"/>
  <c r="V68" i="3" s="1"/>
  <c r="I43" i="3"/>
  <c r="O21" i="3"/>
  <c r="B21" i="3"/>
  <c r="S17" i="5"/>
  <c r="I22" i="3"/>
  <c r="V21" i="3"/>
  <c r="AH21" i="3"/>
  <c r="AC66" i="3"/>
  <c r="AE66" i="3"/>
  <c r="AD66" i="3"/>
  <c r="AB15" i="3"/>
  <c r="AA15" i="3"/>
  <c r="S15" i="3" s="1"/>
  <c r="T37" i="3" s="1"/>
  <c r="U37" i="3" s="1"/>
  <c r="V37" i="3" s="1"/>
  <c r="P15" i="3"/>
  <c r="G15" i="3"/>
  <c r="AK15" i="3"/>
  <c r="AM15" i="3"/>
  <c r="N19" i="3"/>
  <c r="I60" i="3"/>
  <c r="V60" i="3" s="1"/>
  <c r="I35" i="3"/>
  <c r="S9" i="5"/>
  <c r="I12" i="3"/>
  <c r="B13" i="3"/>
  <c r="A13" i="3"/>
  <c r="V13" i="3"/>
  <c r="AH13" i="3"/>
  <c r="AJ38" i="3"/>
  <c r="AN38" i="3" s="1"/>
  <c r="AI38" i="3"/>
  <c r="AL38" i="3"/>
  <c r="AP38" i="3" s="1"/>
  <c r="AC15" i="3"/>
  <c r="AO15" i="3" s="1"/>
  <c r="AD15" i="3"/>
  <c r="AE15" i="3"/>
  <c r="AQ15" i="3" s="1"/>
  <c r="AC19" i="3"/>
  <c r="AO19" i="3" s="1"/>
  <c r="AE19" i="3"/>
  <c r="AQ19" i="3" s="1"/>
  <c r="AD19" i="3"/>
  <c r="AJ14" i="3"/>
  <c r="AN14" i="3" s="1"/>
  <c r="AI14" i="3"/>
  <c r="AL14" i="3"/>
  <c r="AP14" i="3" s="1"/>
  <c r="Z40" i="3"/>
  <c r="W40" i="3"/>
  <c r="Y40" i="3" s="1"/>
  <c r="X40" i="3"/>
  <c r="AF40" i="3"/>
  <c r="X14" i="3"/>
  <c r="W14" i="3"/>
  <c r="Y14" i="3" s="1"/>
  <c r="Z14" i="3"/>
  <c r="AF14" i="3"/>
  <c r="AB62" i="3"/>
  <c r="AA62" i="3"/>
  <c r="T39" i="3"/>
  <c r="U39" i="3" s="1"/>
  <c r="V39" i="3" s="1"/>
  <c r="G17" i="3"/>
  <c r="G18" i="3"/>
  <c r="T14" i="5" s="1"/>
  <c r="AL40" i="3"/>
  <c r="AJ40" i="3"/>
  <c r="AN40" i="3" s="1"/>
  <c r="AI40" i="3"/>
  <c r="T17" i="3"/>
  <c r="Z61" i="3"/>
  <c r="W61" i="3"/>
  <c r="Y61" i="3" s="1"/>
  <c r="X61" i="3"/>
  <c r="AK19" i="3"/>
  <c r="AM19" i="3"/>
  <c r="AJ20" i="3"/>
  <c r="AN20" i="3" s="1"/>
  <c r="AL20" i="3"/>
  <c r="AP20" i="3" s="1"/>
  <c r="AI20" i="3"/>
  <c r="L20" i="3"/>
  <c r="H20" i="3"/>
  <c r="M20" i="3"/>
  <c r="N20" i="3" s="1"/>
  <c r="J20" i="3"/>
  <c r="F20" i="3"/>
  <c r="E20" i="3"/>
  <c r="D20" i="3" s="1"/>
  <c r="X67" i="3"/>
  <c r="Z67" i="3"/>
  <c r="W67" i="3"/>
  <c r="Y67" i="3" s="1"/>
  <c r="AB19" i="3"/>
  <c r="AA19" i="3"/>
  <c r="S19" i="3" s="1"/>
  <c r="T41" i="3" s="1"/>
  <c r="U41" i="3" s="1"/>
  <c r="V41" i="3" s="1"/>
  <c r="X38" i="3"/>
  <c r="Z38" i="3"/>
  <c r="W38" i="3"/>
  <c r="Y38" i="3" s="1"/>
  <c r="AF38" i="3"/>
  <c r="T19" i="3" l="1"/>
  <c r="I6" i="7"/>
  <c r="H6" i="7"/>
  <c r="J6" i="7" s="1"/>
  <c r="AK40" i="3"/>
  <c r="AM40" i="3"/>
  <c r="X13" i="3"/>
  <c r="Z13" i="3"/>
  <c r="W13" i="3"/>
  <c r="Y13" i="3" s="1"/>
  <c r="AF13" i="3"/>
  <c r="S8" i="5"/>
  <c r="I59" i="3"/>
  <c r="V59" i="3" s="1"/>
  <c r="I34" i="3"/>
  <c r="B12" i="3"/>
  <c r="I11" i="3"/>
  <c r="A12" i="3"/>
  <c r="V12" i="3"/>
  <c r="AH12" i="3"/>
  <c r="M21" i="3"/>
  <c r="N21" i="3" s="1"/>
  <c r="H21" i="3"/>
  <c r="E21" i="3"/>
  <c r="L21" i="3"/>
  <c r="J21" i="3"/>
  <c r="F21" i="3"/>
  <c r="P20" i="3"/>
  <c r="AK38" i="3"/>
  <c r="AM38" i="3"/>
  <c r="AB20" i="3"/>
  <c r="AA20" i="3"/>
  <c r="S20" i="3" s="1"/>
  <c r="T42" i="3" s="1"/>
  <c r="U42" i="3" s="1"/>
  <c r="V42" i="3" s="1"/>
  <c r="AC61" i="3"/>
  <c r="AE61" i="3"/>
  <c r="AD61" i="3"/>
  <c r="AP40" i="3"/>
  <c r="T15" i="3"/>
  <c r="W37" i="3"/>
  <c r="Y37" i="3" s="1"/>
  <c r="Z37" i="3"/>
  <c r="X37" i="3"/>
  <c r="AF37" i="3"/>
  <c r="S18" i="5"/>
  <c r="I44" i="3"/>
  <c r="I23" i="3"/>
  <c r="I69" i="3"/>
  <c r="V69" i="3" s="1"/>
  <c r="O22" i="3"/>
  <c r="B22" i="3"/>
  <c r="V22" i="3"/>
  <c r="AH22" i="3"/>
  <c r="AC20" i="3"/>
  <c r="AO20" i="3" s="1"/>
  <c r="AD20" i="3"/>
  <c r="AE20" i="3"/>
  <c r="AQ20" i="3" s="1"/>
  <c r="G19" i="3"/>
  <c r="T15" i="5" s="1"/>
  <c r="X41" i="3"/>
  <c r="W41" i="3"/>
  <c r="Y41" i="3" s="1"/>
  <c r="Z41" i="3"/>
  <c r="AF41" i="3"/>
  <c r="AB67" i="3"/>
  <c r="AA67" i="3"/>
  <c r="AB61" i="3"/>
  <c r="AA61" i="3"/>
  <c r="Z21" i="3"/>
  <c r="W21" i="3"/>
  <c r="Y21" i="3" s="1"/>
  <c r="X21" i="3"/>
  <c r="AF21" i="3"/>
  <c r="W39" i="3"/>
  <c r="Y39" i="3" s="1"/>
  <c r="Z39" i="3"/>
  <c r="X39" i="3"/>
  <c r="AF39" i="3"/>
  <c r="AB14" i="3"/>
  <c r="AA14" i="3"/>
  <c r="S14" i="3" s="1"/>
  <c r="T36" i="3" s="1"/>
  <c r="U36" i="3" s="1"/>
  <c r="V36" i="3" s="1"/>
  <c r="AC40" i="3"/>
  <c r="AO40" i="3" s="1"/>
  <c r="AD40" i="3"/>
  <c r="AE40" i="3"/>
  <c r="AQ40" i="3" s="1"/>
  <c r="AC38" i="3"/>
  <c r="AO38" i="3" s="1"/>
  <c r="AE38" i="3"/>
  <c r="AQ38" i="3" s="1"/>
  <c r="AD38" i="3"/>
  <c r="AB38" i="3"/>
  <c r="AA38" i="3"/>
  <c r="AC67" i="3"/>
  <c r="AE67" i="3"/>
  <c r="AD67" i="3"/>
  <c r="AK20" i="3"/>
  <c r="AM20" i="3"/>
  <c r="AG39" i="3"/>
  <c r="AH39" i="3" s="1"/>
  <c r="K17" i="3"/>
  <c r="AC14" i="3"/>
  <c r="AO14" i="3" s="1"/>
  <c r="AE14" i="3"/>
  <c r="AQ14" i="3" s="1"/>
  <c r="AD14" i="3"/>
  <c r="AB40" i="3"/>
  <c r="AA40" i="3"/>
  <c r="AK14" i="3"/>
  <c r="AM14" i="3"/>
  <c r="T14" i="3" s="1"/>
  <c r="AG36" i="3" s="1"/>
  <c r="AH36" i="3" s="1"/>
  <c r="AL13" i="3"/>
  <c r="AI13" i="3"/>
  <c r="AJ13" i="3"/>
  <c r="AN13" i="3" s="1"/>
  <c r="M13" i="3"/>
  <c r="N13" i="3" s="1"/>
  <c r="E13" i="3"/>
  <c r="D13" i="3" s="1"/>
  <c r="L13" i="3"/>
  <c r="H13" i="3"/>
  <c r="F13" i="3"/>
  <c r="J13" i="3"/>
  <c r="W60" i="3"/>
  <c r="Y60" i="3" s="1"/>
  <c r="Z60" i="3"/>
  <c r="X60" i="3"/>
  <c r="AI21" i="3"/>
  <c r="AL21" i="3"/>
  <c r="AJ21" i="3"/>
  <c r="AN21" i="3" s="1"/>
  <c r="Z68" i="3"/>
  <c r="W68" i="3"/>
  <c r="Y68" i="3" s="1"/>
  <c r="X68" i="3"/>
  <c r="D14" i="3"/>
  <c r="P14" i="3"/>
  <c r="G14" i="3"/>
  <c r="AP13" i="3" l="1"/>
  <c r="AG41" i="3"/>
  <c r="AH41" i="3" s="1"/>
  <c r="K19" i="3"/>
  <c r="AK21" i="3"/>
  <c r="AM21" i="3"/>
  <c r="Z36" i="3"/>
  <c r="W36" i="3"/>
  <c r="Y36" i="3" s="1"/>
  <c r="X36" i="3"/>
  <c r="AF36" i="3"/>
  <c r="P21" i="3"/>
  <c r="AL36" i="3"/>
  <c r="AJ36" i="3"/>
  <c r="AN36" i="3" s="1"/>
  <c r="AI36" i="3"/>
  <c r="AI39" i="3"/>
  <c r="AL39" i="3"/>
  <c r="AP39" i="3" s="1"/>
  <c r="AJ39" i="3"/>
  <c r="AN39" i="3" s="1"/>
  <c r="AC21" i="3"/>
  <c r="AO21" i="3" s="1"/>
  <c r="AD21" i="3"/>
  <c r="AE21" i="3"/>
  <c r="AQ21" i="3" s="1"/>
  <c r="AB41" i="3"/>
  <c r="AA41" i="3"/>
  <c r="W22" i="3"/>
  <c r="Y22" i="3" s="1"/>
  <c r="X22" i="3"/>
  <c r="Z22" i="3"/>
  <c r="AF22" i="3"/>
  <c r="AC13" i="3"/>
  <c r="AO13" i="3" s="1"/>
  <c r="AD13" i="3"/>
  <c r="AE13" i="3"/>
  <c r="AQ13" i="3" s="1"/>
  <c r="AC60" i="3"/>
  <c r="AD60" i="3"/>
  <c r="AE60" i="3"/>
  <c r="P13" i="3"/>
  <c r="T20" i="3"/>
  <c r="I70" i="3"/>
  <c r="V70" i="3" s="1"/>
  <c r="I45" i="3"/>
  <c r="S19" i="5"/>
  <c r="O23" i="3"/>
  <c r="I24" i="3"/>
  <c r="B23" i="3"/>
  <c r="V23" i="3"/>
  <c r="AH23" i="3"/>
  <c r="AB37" i="3"/>
  <c r="AA37" i="3"/>
  <c r="X42" i="3"/>
  <c r="Z42" i="3"/>
  <c r="W42" i="3"/>
  <c r="Y42" i="3" s="1"/>
  <c r="AF42" i="3"/>
  <c r="G20" i="3"/>
  <c r="T16" i="5" s="1"/>
  <c r="AI12" i="3"/>
  <c r="AL12" i="3"/>
  <c r="AP12" i="3" s="1"/>
  <c r="AJ12" i="3"/>
  <c r="AN12" i="3" s="1"/>
  <c r="S7" i="5"/>
  <c r="I33" i="3"/>
  <c r="I58" i="3"/>
  <c r="V58" i="3" s="1"/>
  <c r="B11" i="3"/>
  <c r="I10" i="3"/>
  <c r="A11" i="3"/>
  <c r="V11" i="3"/>
  <c r="AH11" i="3"/>
  <c r="AB13" i="3"/>
  <c r="AA13" i="3"/>
  <c r="S13" i="3" s="1"/>
  <c r="T35" i="3" s="1"/>
  <c r="U35" i="3" s="1"/>
  <c r="V35" i="3" s="1"/>
  <c r="AC39" i="3"/>
  <c r="AO39" i="3" s="1"/>
  <c r="AE39" i="3"/>
  <c r="AQ39" i="3" s="1"/>
  <c r="AD39" i="3"/>
  <c r="AL22" i="3"/>
  <c r="AI22" i="3"/>
  <c r="AJ22" i="3"/>
  <c r="AN22" i="3" s="1"/>
  <c r="AC68" i="3"/>
  <c r="AE68" i="3"/>
  <c r="AD68" i="3"/>
  <c r="AB60" i="3"/>
  <c r="AA60" i="3"/>
  <c r="Z69" i="3"/>
  <c r="X69" i="3"/>
  <c r="W69" i="3"/>
  <c r="Y69" i="3" s="1"/>
  <c r="AG37" i="3"/>
  <c r="AH37" i="3" s="1"/>
  <c r="K15" i="3"/>
  <c r="T11" i="5" s="1"/>
  <c r="X59" i="3"/>
  <c r="W59" i="3"/>
  <c r="Y59" i="3" s="1"/>
  <c r="Z59" i="3"/>
  <c r="AB68" i="3"/>
  <c r="AA68" i="3"/>
  <c r="AP21" i="3"/>
  <c r="AK13" i="3"/>
  <c r="AM13" i="3"/>
  <c r="T13" i="3" s="1"/>
  <c r="AG35" i="3" s="1"/>
  <c r="AH35" i="3" s="1"/>
  <c r="AB39" i="3"/>
  <c r="AA39" i="3"/>
  <c r="AB21" i="3"/>
  <c r="AA21" i="3"/>
  <c r="S21" i="3" s="1"/>
  <c r="T43" i="3" s="1"/>
  <c r="U43" i="3" s="1"/>
  <c r="V43" i="3" s="1"/>
  <c r="AC41" i="3"/>
  <c r="AO41" i="3" s="1"/>
  <c r="AD41" i="3"/>
  <c r="AE41" i="3"/>
  <c r="AQ41" i="3" s="1"/>
  <c r="K14" i="3"/>
  <c r="T10" i="5" s="1"/>
  <c r="J22" i="3"/>
  <c r="F22" i="3"/>
  <c r="M22" i="3"/>
  <c r="N22" i="3" s="1"/>
  <c r="H22" i="3"/>
  <c r="E22" i="3"/>
  <c r="D22" i="3" s="1"/>
  <c r="L22" i="3"/>
  <c r="AC37" i="3"/>
  <c r="AO37" i="3" s="1"/>
  <c r="AE37" i="3"/>
  <c r="AQ37" i="3" s="1"/>
  <c r="AD37" i="3"/>
  <c r="D21" i="3"/>
  <c r="Z12" i="3"/>
  <c r="W12" i="3"/>
  <c r="Y12" i="3" s="1"/>
  <c r="X12" i="3"/>
  <c r="AF12" i="3"/>
  <c r="J12" i="3"/>
  <c r="F12" i="3"/>
  <c r="M12" i="3"/>
  <c r="E12" i="3"/>
  <c r="H12" i="3"/>
  <c r="L12" i="3"/>
  <c r="AP22" i="3" l="1"/>
  <c r="K13" i="3"/>
  <c r="T9" i="5" s="1"/>
  <c r="AI41" i="3"/>
  <c r="AL41" i="3"/>
  <c r="AP41" i="3" s="1"/>
  <c r="AJ41" i="3"/>
  <c r="AN41" i="3" s="1"/>
  <c r="AC69" i="3"/>
  <c r="AE69" i="3"/>
  <c r="AD69" i="3"/>
  <c r="J11" i="3"/>
  <c r="F11" i="3"/>
  <c r="H11" i="3"/>
  <c r="M11" i="3"/>
  <c r="N11" i="3" s="1"/>
  <c r="E11" i="3"/>
  <c r="D11" i="3" s="1"/>
  <c r="L11" i="3"/>
  <c r="AK36" i="3"/>
  <c r="AM36" i="3"/>
  <c r="AC12" i="3"/>
  <c r="AO12" i="3" s="1"/>
  <c r="AD12" i="3"/>
  <c r="AE12" i="3"/>
  <c r="AQ12" i="3" s="1"/>
  <c r="AI35" i="3"/>
  <c r="AJ35" i="3"/>
  <c r="AN35" i="3" s="1"/>
  <c r="AL35" i="3"/>
  <c r="G21" i="3"/>
  <c r="T17" i="5" s="1"/>
  <c r="D12" i="3"/>
  <c r="AC59" i="3"/>
  <c r="AD59" i="3"/>
  <c r="AE59" i="3"/>
  <c r="AK12" i="3"/>
  <c r="AM12" i="3"/>
  <c r="AC42" i="3"/>
  <c r="AO42" i="3" s="1"/>
  <c r="AD42" i="3"/>
  <c r="AE42" i="3"/>
  <c r="AQ42" i="3" s="1"/>
  <c r="AI23" i="3"/>
  <c r="AL23" i="3"/>
  <c r="AP23" i="3" s="1"/>
  <c r="AJ23" i="3"/>
  <c r="AN23" i="3" s="1"/>
  <c r="S20" i="5"/>
  <c r="I46" i="3"/>
  <c r="O24" i="3"/>
  <c r="I71" i="3"/>
  <c r="V71" i="3" s="1"/>
  <c r="I25" i="3"/>
  <c r="B24" i="3"/>
  <c r="V24" i="3"/>
  <c r="AH24" i="3"/>
  <c r="W70" i="3"/>
  <c r="Y70" i="3" s="1"/>
  <c r="Z70" i="3"/>
  <c r="X70" i="3"/>
  <c r="AB22" i="3"/>
  <c r="AA22" i="3"/>
  <c r="S22" i="3" s="1"/>
  <c r="T44" i="3" s="1"/>
  <c r="U44" i="3" s="1"/>
  <c r="V44" i="3" s="1"/>
  <c r="AP36" i="3"/>
  <c r="T21" i="3"/>
  <c r="AB59" i="3"/>
  <c r="AA59" i="3"/>
  <c r="W11" i="3"/>
  <c r="Y11" i="3" s="1"/>
  <c r="Z11" i="3"/>
  <c r="X11" i="3"/>
  <c r="AF11" i="3"/>
  <c r="X23" i="3"/>
  <c r="W23" i="3"/>
  <c r="Y23" i="3" s="1"/>
  <c r="Z23" i="3"/>
  <c r="AF23" i="3"/>
  <c r="P12" i="3"/>
  <c r="P22" i="3"/>
  <c r="W43" i="3"/>
  <c r="Y43" i="3" s="1"/>
  <c r="Z43" i="3"/>
  <c r="X43" i="3"/>
  <c r="AF43" i="3"/>
  <c r="AL37" i="3"/>
  <c r="AP37" i="3" s="1"/>
  <c r="AJ37" i="3"/>
  <c r="AN37" i="3" s="1"/>
  <c r="AI37" i="3"/>
  <c r="W35" i="3"/>
  <c r="Y35" i="3" s="1"/>
  <c r="Z35" i="3"/>
  <c r="X35" i="3"/>
  <c r="AF35" i="3"/>
  <c r="W58" i="3"/>
  <c r="Y58" i="3" s="1"/>
  <c r="X58" i="3"/>
  <c r="Z58" i="3"/>
  <c r="M23" i="3"/>
  <c r="E23" i="3"/>
  <c r="D23" i="3" s="1"/>
  <c r="J23" i="3"/>
  <c r="H23" i="3"/>
  <c r="F23" i="3"/>
  <c r="L23" i="3"/>
  <c r="G13" i="3"/>
  <c r="AC22" i="3"/>
  <c r="AO22" i="3" s="1"/>
  <c r="AD22" i="3"/>
  <c r="AE22" i="3"/>
  <c r="AQ22" i="3" s="1"/>
  <c r="AC36" i="3"/>
  <c r="AO36" i="3" s="1"/>
  <c r="AD36" i="3"/>
  <c r="AE36" i="3"/>
  <c r="AQ36" i="3" s="1"/>
  <c r="N12" i="3"/>
  <c r="AB12" i="3"/>
  <c r="AA12" i="3"/>
  <c r="S12" i="3" s="1"/>
  <c r="T34" i="3" s="1"/>
  <c r="U34" i="3" s="1"/>
  <c r="V34" i="3" s="1"/>
  <c r="AB69" i="3"/>
  <c r="AA69" i="3"/>
  <c r="AK22" i="3"/>
  <c r="AM22" i="3"/>
  <c r="AJ11" i="3"/>
  <c r="AN11" i="3" s="1"/>
  <c r="AI11" i="3"/>
  <c r="AL11" i="3"/>
  <c r="I57" i="3"/>
  <c r="V57" i="3" s="1"/>
  <c r="S6" i="5"/>
  <c r="I9" i="3"/>
  <c r="B10" i="3"/>
  <c r="I32" i="3"/>
  <c r="A10" i="3"/>
  <c r="V10" i="3"/>
  <c r="AH10" i="3"/>
  <c r="AB42" i="3"/>
  <c r="AA42" i="3"/>
  <c r="AG42" i="3"/>
  <c r="AH42" i="3" s="1"/>
  <c r="K20" i="3"/>
  <c r="AK39" i="3"/>
  <c r="AM39" i="3"/>
  <c r="AB36" i="3"/>
  <c r="AA36" i="3"/>
  <c r="AP35" i="3" l="1"/>
  <c r="AK41" i="3"/>
  <c r="AM41" i="3"/>
  <c r="AB58" i="3"/>
  <c r="AA58" i="3"/>
  <c r="AC35" i="3"/>
  <c r="AO35" i="3" s="1"/>
  <c r="AE35" i="3"/>
  <c r="AQ35" i="3" s="1"/>
  <c r="AD35" i="3"/>
  <c r="AC70" i="3"/>
  <c r="AE70" i="3"/>
  <c r="AD70" i="3"/>
  <c r="Z44" i="3"/>
  <c r="X44" i="3"/>
  <c r="W44" i="3"/>
  <c r="Y44" i="3" s="1"/>
  <c r="AF44" i="3"/>
  <c r="T12" i="3"/>
  <c r="P11" i="3"/>
  <c r="AJ10" i="3"/>
  <c r="AN10" i="3" s="1"/>
  <c r="AL10" i="3"/>
  <c r="AI10" i="3"/>
  <c r="Z57" i="3"/>
  <c r="X57" i="3"/>
  <c r="W57" i="3"/>
  <c r="Y57" i="3" s="1"/>
  <c r="T22" i="3"/>
  <c r="X34" i="3"/>
  <c r="W34" i="3"/>
  <c r="Y34" i="3" s="1"/>
  <c r="Z34" i="3"/>
  <c r="AF34" i="3"/>
  <c r="N23" i="3"/>
  <c r="AK37" i="3"/>
  <c r="AM37" i="3"/>
  <c r="AB43" i="3"/>
  <c r="AA43" i="3"/>
  <c r="G22" i="3"/>
  <c r="T18" i="5" s="1"/>
  <c r="AC23" i="3"/>
  <c r="AO23" i="3" s="1"/>
  <c r="AD23" i="3"/>
  <c r="AE23" i="3"/>
  <c r="AQ23" i="3" s="1"/>
  <c r="AB11" i="3"/>
  <c r="AA11" i="3"/>
  <c r="S11" i="3" s="1"/>
  <c r="T33" i="3" s="1"/>
  <c r="U33" i="3" s="1"/>
  <c r="V33" i="3" s="1"/>
  <c r="AJ24" i="3"/>
  <c r="AN24" i="3" s="1"/>
  <c r="AI24" i="3"/>
  <c r="AL24" i="3"/>
  <c r="AP24" i="3" s="1"/>
  <c r="I72" i="3"/>
  <c r="V72" i="3" s="1"/>
  <c r="I47" i="3"/>
  <c r="O25" i="3"/>
  <c r="B25" i="3"/>
  <c r="S21" i="5"/>
  <c r="I26" i="3"/>
  <c r="AH25" i="3"/>
  <c r="V25" i="3"/>
  <c r="I56" i="3"/>
  <c r="V56" i="3" s="1"/>
  <c r="S5" i="5"/>
  <c r="I8" i="3"/>
  <c r="I31" i="3"/>
  <c r="B9" i="3"/>
  <c r="A9" i="3"/>
  <c r="V9" i="3"/>
  <c r="AH9" i="3"/>
  <c r="AK11" i="3"/>
  <c r="AM11" i="3"/>
  <c r="AB23" i="3"/>
  <c r="AA23" i="3"/>
  <c r="S23" i="3" s="1"/>
  <c r="T45" i="3" s="1"/>
  <c r="U45" i="3" s="1"/>
  <c r="V45" i="3" s="1"/>
  <c r="L24" i="3"/>
  <c r="H24" i="3"/>
  <c r="J24" i="3"/>
  <c r="E24" i="3"/>
  <c r="D24" i="3" s="1"/>
  <c r="F24" i="3"/>
  <c r="M24" i="3"/>
  <c r="N24" i="3" s="1"/>
  <c r="AK23" i="3"/>
  <c r="AM23" i="3"/>
  <c r="T23" i="3" s="1"/>
  <c r="AG45" i="3" s="1"/>
  <c r="AH45" i="3" s="1"/>
  <c r="AJ42" i="3"/>
  <c r="AN42" i="3" s="1"/>
  <c r="AI42" i="3"/>
  <c r="AL42" i="3"/>
  <c r="X10" i="3"/>
  <c r="W10" i="3"/>
  <c r="Y10" i="3" s="1"/>
  <c r="Z10" i="3"/>
  <c r="AF10" i="3"/>
  <c r="L10" i="3"/>
  <c r="H10" i="3"/>
  <c r="M10" i="3"/>
  <c r="N10" i="3" s="1"/>
  <c r="E10" i="3"/>
  <c r="D10" i="3" s="1"/>
  <c r="J10" i="3"/>
  <c r="F10" i="3"/>
  <c r="AP11" i="3"/>
  <c r="P23" i="3"/>
  <c r="G23" i="3"/>
  <c r="T19" i="5" s="1"/>
  <c r="AC58" i="3"/>
  <c r="AE58" i="3"/>
  <c r="AD58" i="3"/>
  <c r="AB35" i="3"/>
  <c r="AA35" i="3"/>
  <c r="AC43" i="3"/>
  <c r="AO43" i="3" s="1"/>
  <c r="AD43" i="3"/>
  <c r="AE43" i="3"/>
  <c r="AQ43" i="3" s="1"/>
  <c r="G12" i="3"/>
  <c r="AC11" i="3"/>
  <c r="AO11" i="3" s="1"/>
  <c r="AE11" i="3"/>
  <c r="AQ11" i="3" s="1"/>
  <c r="AD11" i="3"/>
  <c r="AG43" i="3"/>
  <c r="AH43" i="3" s="1"/>
  <c r="K21" i="3"/>
  <c r="AB70" i="3"/>
  <c r="AA70" i="3"/>
  <c r="W24" i="3"/>
  <c r="Y24" i="3" s="1"/>
  <c r="X24" i="3"/>
  <c r="Z24" i="3"/>
  <c r="AF24" i="3"/>
  <c r="X71" i="3"/>
  <c r="Z71" i="3"/>
  <c r="W71" i="3"/>
  <c r="Y71" i="3" s="1"/>
  <c r="AK35" i="3"/>
  <c r="AM35" i="3"/>
  <c r="AP42" i="3" l="1"/>
  <c r="X9" i="3"/>
  <c r="Z9" i="3"/>
  <c r="W9" i="3"/>
  <c r="Y9" i="3" s="1"/>
  <c r="AF9" i="3"/>
  <c r="Z33" i="3"/>
  <c r="X33" i="3"/>
  <c r="W33" i="3"/>
  <c r="Y33" i="3" s="1"/>
  <c r="AF33" i="3"/>
  <c r="AC34" i="3"/>
  <c r="AO34" i="3" s="1"/>
  <c r="AD34" i="3"/>
  <c r="AE34" i="3"/>
  <c r="AQ34" i="3" s="1"/>
  <c r="AK10" i="3"/>
  <c r="AM10" i="3"/>
  <c r="AC71" i="3"/>
  <c r="AE71" i="3"/>
  <c r="AD71" i="3"/>
  <c r="AC10" i="3"/>
  <c r="AO10" i="3" s="1"/>
  <c r="AE10" i="3"/>
  <c r="AQ10" i="3" s="1"/>
  <c r="AD10" i="3"/>
  <c r="AK42" i="3"/>
  <c r="AM42" i="3"/>
  <c r="P24" i="3"/>
  <c r="T11" i="3"/>
  <c r="I30" i="3"/>
  <c r="S4" i="5"/>
  <c r="I55" i="3"/>
  <c r="V55" i="3" s="1"/>
  <c r="I7" i="3"/>
  <c r="B8" i="3"/>
  <c r="A8" i="3"/>
  <c r="V8" i="3"/>
  <c r="AH8" i="3"/>
  <c r="AI25" i="3"/>
  <c r="AJ25" i="3"/>
  <c r="AN25" i="3" s="1"/>
  <c r="AL25" i="3"/>
  <c r="J25" i="3"/>
  <c r="E25" i="3"/>
  <c r="D25" i="3" s="1"/>
  <c r="F25" i="3"/>
  <c r="M25" i="3"/>
  <c r="L25" i="3"/>
  <c r="H25" i="3"/>
  <c r="AB57" i="3"/>
  <c r="AA57" i="3"/>
  <c r="AP10" i="3"/>
  <c r="AG34" i="3"/>
  <c r="AH34" i="3" s="1"/>
  <c r="K12" i="3"/>
  <c r="T8" i="5" s="1"/>
  <c r="AB44" i="3"/>
  <c r="AA44" i="3"/>
  <c r="AB71" i="3"/>
  <c r="AA71" i="3"/>
  <c r="AI43" i="3"/>
  <c r="AL43" i="3"/>
  <c r="AP43" i="3" s="1"/>
  <c r="AJ43" i="3"/>
  <c r="AN43" i="3" s="1"/>
  <c r="P10" i="3"/>
  <c r="AK24" i="3"/>
  <c r="AM24" i="3"/>
  <c r="T24" i="3" s="1"/>
  <c r="AG46" i="3" s="1"/>
  <c r="AH46" i="3" s="1"/>
  <c r="AB34" i="3"/>
  <c r="AA34" i="3"/>
  <c r="AC57" i="3"/>
  <c r="AD57" i="3"/>
  <c r="AE57" i="3"/>
  <c r="AC44" i="3"/>
  <c r="AO44" i="3" s="1"/>
  <c r="AD44" i="3"/>
  <c r="AE44" i="3"/>
  <c r="AQ44" i="3" s="1"/>
  <c r="AC24" i="3"/>
  <c r="AO24" i="3" s="1"/>
  <c r="AD24" i="3"/>
  <c r="AE24" i="3"/>
  <c r="AQ24" i="3" s="1"/>
  <c r="Z25" i="3"/>
  <c r="X25" i="3"/>
  <c r="W25" i="3"/>
  <c r="Y25" i="3" s="1"/>
  <c r="AF25" i="3"/>
  <c r="X72" i="3"/>
  <c r="Z72" i="3"/>
  <c r="W72" i="3"/>
  <c r="Y72" i="3" s="1"/>
  <c r="AB24" i="3"/>
  <c r="AA24" i="3"/>
  <c r="S24" i="3" s="1"/>
  <c r="T46" i="3" s="1"/>
  <c r="U46" i="3" s="1"/>
  <c r="V46" i="3" s="1"/>
  <c r="AB10" i="3"/>
  <c r="AA10" i="3"/>
  <c r="S10" i="3" s="1"/>
  <c r="T32" i="3" s="1"/>
  <c r="U32" i="3" s="1"/>
  <c r="V32" i="3" s="1"/>
  <c r="AJ45" i="3"/>
  <c r="AN45" i="3" s="1"/>
  <c r="AI45" i="3"/>
  <c r="AL45" i="3"/>
  <c r="Z45" i="3"/>
  <c r="X45" i="3"/>
  <c r="W45" i="3"/>
  <c r="Y45" i="3" s="1"/>
  <c r="AF45" i="3"/>
  <c r="AL9" i="3"/>
  <c r="AJ9" i="3"/>
  <c r="AN9" i="3" s="1"/>
  <c r="AI9" i="3"/>
  <c r="M9" i="3"/>
  <c r="E9" i="3"/>
  <c r="L9" i="3"/>
  <c r="H9" i="3"/>
  <c r="J9" i="3"/>
  <c r="F9" i="3"/>
  <c r="X56" i="3"/>
  <c r="Z56" i="3"/>
  <c r="W56" i="3"/>
  <c r="Y56" i="3" s="1"/>
  <c r="I27" i="3"/>
  <c r="I48" i="3"/>
  <c r="I73" i="3"/>
  <c r="V73" i="3" s="1"/>
  <c r="O26" i="3"/>
  <c r="S22" i="5"/>
  <c r="B26" i="3"/>
  <c r="V26" i="3"/>
  <c r="AH26" i="3"/>
  <c r="AG44" i="3"/>
  <c r="AH44" i="3" s="1"/>
  <c r="K22" i="3"/>
  <c r="G11" i="3"/>
  <c r="K23" i="3"/>
  <c r="AP9" i="3" l="1"/>
  <c r="AP45" i="3"/>
  <c r="J26" i="3"/>
  <c r="F26" i="3"/>
  <c r="E26" i="3"/>
  <c r="D26" i="3" s="1"/>
  <c r="L26" i="3"/>
  <c r="H26" i="3"/>
  <c r="M26" i="3"/>
  <c r="X46" i="3"/>
  <c r="Z46" i="3"/>
  <c r="W46" i="3"/>
  <c r="Y46" i="3" s="1"/>
  <c r="AF46" i="3"/>
  <c r="AB72" i="3"/>
  <c r="AA72" i="3"/>
  <c r="AC25" i="3"/>
  <c r="AO25" i="3" s="1"/>
  <c r="AE25" i="3"/>
  <c r="AQ25" i="3" s="1"/>
  <c r="AD25" i="3"/>
  <c r="D9" i="3"/>
  <c r="AC45" i="3"/>
  <c r="AO45" i="3" s="1"/>
  <c r="AE45" i="3"/>
  <c r="AQ45" i="3" s="1"/>
  <c r="AD45" i="3"/>
  <c r="Z32" i="3"/>
  <c r="W32" i="3"/>
  <c r="Y32" i="3" s="1"/>
  <c r="X32" i="3"/>
  <c r="AF32" i="3"/>
  <c r="AI8" i="3"/>
  <c r="AL8" i="3"/>
  <c r="AP8" i="3" s="1"/>
  <c r="AJ8" i="3"/>
  <c r="AN8" i="3" s="1"/>
  <c r="J8" i="3"/>
  <c r="F8" i="3"/>
  <c r="M8" i="3"/>
  <c r="E8" i="3"/>
  <c r="D8" i="3" s="1"/>
  <c r="L8" i="3"/>
  <c r="H8" i="3"/>
  <c r="T10" i="3"/>
  <c r="AC33" i="3"/>
  <c r="AO33" i="3" s="1"/>
  <c r="AD33" i="3"/>
  <c r="AE33" i="3"/>
  <c r="AQ33" i="3" s="1"/>
  <c r="AC9" i="3"/>
  <c r="AO9" i="3" s="1"/>
  <c r="AE9" i="3"/>
  <c r="AQ9" i="3" s="1"/>
  <c r="AD9" i="3"/>
  <c r="AB56" i="3"/>
  <c r="AA56" i="3"/>
  <c r="AB45" i="3"/>
  <c r="AA45" i="3"/>
  <c r="P25" i="3"/>
  <c r="AK25" i="3"/>
  <c r="AM25" i="3"/>
  <c r="AB33" i="3"/>
  <c r="AA33" i="3"/>
  <c r="AL26" i="3"/>
  <c r="AP26" i="3" s="1"/>
  <c r="AJ26" i="3"/>
  <c r="AN26" i="3" s="1"/>
  <c r="AI26" i="3"/>
  <c r="X26" i="3"/>
  <c r="W26" i="3"/>
  <c r="Y26" i="3" s="1"/>
  <c r="Z26" i="3"/>
  <c r="AF26" i="3"/>
  <c r="N9" i="3"/>
  <c r="G10" i="3"/>
  <c r="AK43" i="3"/>
  <c r="AM43" i="3"/>
  <c r="N25" i="3"/>
  <c r="AP25" i="3"/>
  <c r="Z8" i="3"/>
  <c r="X8" i="3"/>
  <c r="W8" i="3"/>
  <c r="Y8" i="3" s="1"/>
  <c r="AF8" i="3"/>
  <c r="S3" i="5"/>
  <c r="I54" i="3"/>
  <c r="V54" i="3" s="1"/>
  <c r="B7" i="3"/>
  <c r="I29" i="3"/>
  <c r="A7" i="3"/>
  <c r="AH7" i="3"/>
  <c r="V7" i="3"/>
  <c r="AG33" i="3"/>
  <c r="AH33" i="3" s="1"/>
  <c r="K11" i="3"/>
  <c r="T7" i="5" s="1"/>
  <c r="AB9" i="3"/>
  <c r="AA9" i="3"/>
  <c r="S9" i="3" s="1"/>
  <c r="T31" i="3" s="1"/>
  <c r="U31" i="3" s="1"/>
  <c r="V31" i="3" s="1"/>
  <c r="AJ46" i="3"/>
  <c r="AN46" i="3" s="1"/>
  <c r="AL46" i="3"/>
  <c r="AI46" i="3"/>
  <c r="AJ34" i="3"/>
  <c r="AN34" i="3" s="1"/>
  <c r="AI34" i="3"/>
  <c r="AL34" i="3"/>
  <c r="S23" i="5"/>
  <c r="I74" i="3"/>
  <c r="V74" i="3" s="1"/>
  <c r="I49" i="3"/>
  <c r="O27" i="3"/>
  <c r="B27" i="3"/>
  <c r="AH27" i="3"/>
  <c r="V27" i="3"/>
  <c r="AL44" i="3"/>
  <c r="AI44" i="3"/>
  <c r="AJ44" i="3"/>
  <c r="AN44" i="3" s="1"/>
  <c r="Z73" i="3"/>
  <c r="X73" i="3"/>
  <c r="W73" i="3"/>
  <c r="Y73" i="3" s="1"/>
  <c r="AC56" i="3"/>
  <c r="AD56" i="3"/>
  <c r="AE56" i="3"/>
  <c r="P9" i="3"/>
  <c r="AK9" i="3"/>
  <c r="AM9" i="3"/>
  <c r="AK45" i="3"/>
  <c r="AM45" i="3"/>
  <c r="AC72" i="3"/>
  <c r="AE72" i="3"/>
  <c r="AD72" i="3"/>
  <c r="AB25" i="3"/>
  <c r="AA25" i="3"/>
  <c r="S25" i="3" s="1"/>
  <c r="T47" i="3" s="1"/>
  <c r="U47" i="3" s="1"/>
  <c r="V47" i="3" s="1"/>
  <c r="X55" i="3"/>
  <c r="W55" i="3"/>
  <c r="Y55" i="3" s="1"/>
  <c r="Z55" i="3"/>
  <c r="G24" i="3"/>
  <c r="T20" i="5" s="1"/>
  <c r="K24" i="3"/>
  <c r="AP34" i="3" l="1"/>
  <c r="AP46" i="3"/>
  <c r="T25" i="3"/>
  <c r="AC73" i="3"/>
  <c r="AD73" i="3"/>
  <c r="AE73" i="3"/>
  <c r="X27" i="3"/>
  <c r="W27" i="3"/>
  <c r="Y27" i="3" s="1"/>
  <c r="Z27" i="3"/>
  <c r="AF27" i="3"/>
  <c r="AB26" i="3"/>
  <c r="AA26" i="3"/>
  <c r="S26" i="3" s="1"/>
  <c r="T48" i="3" s="1"/>
  <c r="U48" i="3" s="1"/>
  <c r="V48" i="3" s="1"/>
  <c r="AC32" i="3"/>
  <c r="AO32" i="3" s="1"/>
  <c r="AD32" i="3"/>
  <c r="AE32" i="3"/>
  <c r="AQ32" i="3" s="1"/>
  <c r="AC46" i="3"/>
  <c r="AO46" i="3" s="1"/>
  <c r="AE46" i="3"/>
  <c r="AQ46" i="3" s="1"/>
  <c r="AD46" i="3"/>
  <c r="AC55" i="3"/>
  <c r="AD55" i="3"/>
  <c r="AE55" i="3"/>
  <c r="G9" i="3"/>
  <c r="AK34" i="3"/>
  <c r="AM34" i="3"/>
  <c r="AL33" i="3"/>
  <c r="AJ33" i="3"/>
  <c r="AN33" i="3" s="1"/>
  <c r="AI33" i="3"/>
  <c r="AC8" i="3"/>
  <c r="AO8" i="3" s="1"/>
  <c r="AE8" i="3"/>
  <c r="AQ8" i="3" s="1"/>
  <c r="AD8" i="3"/>
  <c r="AK26" i="3"/>
  <c r="AM26" i="3"/>
  <c r="G25" i="3"/>
  <c r="T21" i="5" s="1"/>
  <c r="AG32" i="3"/>
  <c r="AH32" i="3" s="1"/>
  <c r="K10" i="3"/>
  <c r="T6" i="5" s="1"/>
  <c r="AB46" i="3"/>
  <c r="AA46" i="3"/>
  <c r="W47" i="3"/>
  <c r="Y47" i="3" s="1"/>
  <c r="X47" i="3"/>
  <c r="Z47" i="3"/>
  <c r="AF47" i="3"/>
  <c r="W54" i="3"/>
  <c r="Y54" i="3" s="1"/>
  <c r="Z54" i="3"/>
  <c r="X54" i="3"/>
  <c r="AK44" i="3"/>
  <c r="AM44" i="3"/>
  <c r="AJ27" i="3"/>
  <c r="AN27" i="3" s="1"/>
  <c r="AI27" i="3"/>
  <c r="AL27" i="3"/>
  <c r="W74" i="3"/>
  <c r="Y74" i="3" s="1"/>
  <c r="X74" i="3"/>
  <c r="Z74" i="3"/>
  <c r="Z31" i="3"/>
  <c r="X31" i="3"/>
  <c r="W31" i="3"/>
  <c r="Y31" i="3" s="1"/>
  <c r="AF31" i="3"/>
  <c r="W7" i="3"/>
  <c r="Y7" i="3" s="1"/>
  <c r="Z7" i="3"/>
  <c r="X7" i="3"/>
  <c r="AF7" i="3"/>
  <c r="AC26" i="3"/>
  <c r="AO26" i="3" s="1"/>
  <c r="AD26" i="3"/>
  <c r="AE26" i="3"/>
  <c r="AQ26" i="3" s="1"/>
  <c r="N8" i="3"/>
  <c r="AB32" i="3"/>
  <c r="AA32" i="3"/>
  <c r="N26" i="3"/>
  <c r="AJ7" i="3"/>
  <c r="AN7" i="3" s="1"/>
  <c r="AI7" i="3"/>
  <c r="AL7" i="3"/>
  <c r="AB8" i="3"/>
  <c r="AA8" i="3"/>
  <c r="S8" i="3" s="1"/>
  <c r="T30" i="3" s="1"/>
  <c r="U30" i="3" s="1"/>
  <c r="V30" i="3" s="1"/>
  <c r="AB55" i="3"/>
  <c r="AA55" i="3"/>
  <c r="T9" i="3"/>
  <c r="AB73" i="3"/>
  <c r="AA73" i="3"/>
  <c r="AP44" i="3"/>
  <c r="M27" i="3"/>
  <c r="E27" i="3"/>
  <c r="F27" i="3"/>
  <c r="J27" i="3"/>
  <c r="L27" i="3"/>
  <c r="H27" i="3"/>
  <c r="AK46" i="3"/>
  <c r="AM46" i="3"/>
  <c r="J7" i="3"/>
  <c r="F7" i="3"/>
  <c r="L7" i="3"/>
  <c r="L28" i="3" s="1"/>
  <c r="E7" i="3"/>
  <c r="M7" i="3"/>
  <c r="H7" i="3"/>
  <c r="P8" i="3"/>
  <c r="AK8" i="3"/>
  <c r="AM8" i="3"/>
  <c r="P26" i="3"/>
  <c r="AG47" i="3" l="1"/>
  <c r="AH47" i="3" s="1"/>
  <c r="K25" i="3"/>
  <c r="G26" i="3"/>
  <c r="T22" i="5" s="1"/>
  <c r="G8" i="3"/>
  <c r="AP27" i="3"/>
  <c r="AP33" i="3"/>
  <c r="T8" i="3"/>
  <c r="P7" i="3"/>
  <c r="F28" i="3"/>
  <c r="L2" i="3" s="1"/>
  <c r="P27" i="3"/>
  <c r="D27" i="3"/>
  <c r="W30" i="3"/>
  <c r="Y30" i="3" s="1"/>
  <c r="X30" i="3"/>
  <c r="Z30" i="3"/>
  <c r="AF30" i="3"/>
  <c r="AC74" i="3"/>
  <c r="AE74" i="3"/>
  <c r="AD74" i="3"/>
  <c r="AK27" i="3"/>
  <c r="AM27" i="3"/>
  <c r="AB54" i="3"/>
  <c r="AA54" i="3"/>
  <c r="AC47" i="3"/>
  <c r="AO47" i="3" s="1"/>
  <c r="AE47" i="3"/>
  <c r="AQ47" i="3" s="1"/>
  <c r="AD47" i="3"/>
  <c r="T26" i="3"/>
  <c r="AK7" i="3"/>
  <c r="AM7" i="3"/>
  <c r="AC31" i="3"/>
  <c r="AO31" i="3" s="1"/>
  <c r="AE31" i="3"/>
  <c r="AQ31" i="3" s="1"/>
  <c r="AD31" i="3"/>
  <c r="AB27" i="3"/>
  <c r="AA27" i="3"/>
  <c r="S27" i="3" s="1"/>
  <c r="T49" i="3" s="1"/>
  <c r="U49" i="3" s="1"/>
  <c r="V49" i="3" s="1"/>
  <c r="M28" i="3"/>
  <c r="N7" i="3"/>
  <c r="N27" i="3"/>
  <c r="AG31" i="3"/>
  <c r="AH31" i="3" s="1"/>
  <c r="K9" i="3"/>
  <c r="T5" i="5" s="1"/>
  <c r="AB7" i="3"/>
  <c r="AA7" i="3"/>
  <c r="S7" i="3" s="1"/>
  <c r="T29" i="3" s="1"/>
  <c r="U29" i="3" s="1"/>
  <c r="V29" i="3" s="1"/>
  <c r="AB74" i="3"/>
  <c r="AA74" i="3"/>
  <c r="AC54" i="3"/>
  <c r="AD54" i="3"/>
  <c r="AE54" i="3"/>
  <c r="AB47" i="3"/>
  <c r="AA47" i="3"/>
  <c r="AK33" i="3"/>
  <c r="AM33" i="3"/>
  <c r="AC27" i="3"/>
  <c r="AO27" i="3" s="1"/>
  <c r="AD27" i="3"/>
  <c r="AE27" i="3"/>
  <c r="AQ27" i="3" s="1"/>
  <c r="D7" i="3"/>
  <c r="E28" i="3"/>
  <c r="K2" i="3" s="1"/>
  <c r="AP7" i="3"/>
  <c r="AC7" i="3"/>
  <c r="AO7" i="3" s="1"/>
  <c r="AE7" i="3"/>
  <c r="AQ7" i="3" s="1"/>
  <c r="AD7" i="3"/>
  <c r="AB31" i="3"/>
  <c r="AA31" i="3"/>
  <c r="AL32" i="3"/>
  <c r="AJ32" i="3"/>
  <c r="AN32" i="3" s="1"/>
  <c r="AI32" i="3"/>
  <c r="Z48" i="3"/>
  <c r="X48" i="3"/>
  <c r="W48" i="3"/>
  <c r="Y48" i="3" s="1"/>
  <c r="AF48" i="3"/>
  <c r="AL47" i="3" l="1"/>
  <c r="AJ47" i="3"/>
  <c r="AN47" i="3" s="1"/>
  <c r="AI47" i="3"/>
  <c r="G7" i="3"/>
  <c r="AB48" i="3"/>
  <c r="AA48" i="3"/>
  <c r="AP32" i="3"/>
  <c r="AG48" i="3"/>
  <c r="AH48" i="3" s="1"/>
  <c r="K26" i="3"/>
  <c r="AC30" i="3"/>
  <c r="AO30" i="3" s="1"/>
  <c r="AD30" i="3"/>
  <c r="AE30" i="3"/>
  <c r="AQ30" i="3" s="1"/>
  <c r="G27" i="3"/>
  <c r="T23" i="5" s="1"/>
  <c r="X29" i="3"/>
  <c r="W29" i="3"/>
  <c r="Y29" i="3" s="1"/>
  <c r="Z29" i="3"/>
  <c r="AF29" i="3"/>
  <c r="AC48" i="3"/>
  <c r="AO48" i="3" s="1"/>
  <c r="AD48" i="3"/>
  <c r="AE48" i="3"/>
  <c r="AQ48" i="3" s="1"/>
  <c r="AB30" i="3"/>
  <c r="AA30" i="3"/>
  <c r="AG30" i="3"/>
  <c r="AH30" i="3" s="1"/>
  <c r="K8" i="3"/>
  <c r="T4" i="5" s="1"/>
  <c r="Z49" i="3"/>
  <c r="W49" i="3"/>
  <c r="Y49" i="3" s="1"/>
  <c r="X49" i="3"/>
  <c r="AF49" i="3"/>
  <c r="AK32" i="3"/>
  <c r="AM32" i="3"/>
  <c r="AL31" i="3"/>
  <c r="AP31" i="3" s="1"/>
  <c r="AJ31" i="3"/>
  <c r="AN31" i="3" s="1"/>
  <c r="AI31" i="3"/>
  <c r="T7" i="3"/>
  <c r="T27" i="3"/>
  <c r="AM11" i="2"/>
  <c r="AK47" i="3" l="1"/>
  <c r="AM47" i="3"/>
  <c r="AP47" i="3"/>
  <c r="AB49" i="3"/>
  <c r="AA49" i="3"/>
  <c r="AI30" i="3"/>
  <c r="AJ30" i="3"/>
  <c r="AN30" i="3" s="1"/>
  <c r="AL30" i="3"/>
  <c r="AP30" i="3" s="1"/>
  <c r="AG29" i="3"/>
  <c r="AH29" i="3" s="1"/>
  <c r="K7" i="3"/>
  <c r="T3" i="5" s="1"/>
  <c r="AB29" i="3"/>
  <c r="AA29" i="3"/>
  <c r="AG49" i="3"/>
  <c r="AH49" i="3" s="1"/>
  <c r="K27" i="3"/>
  <c r="AK31" i="3"/>
  <c r="AM31" i="3"/>
  <c r="AC49" i="3"/>
  <c r="AO49" i="3" s="1"/>
  <c r="AD49" i="3"/>
  <c r="AE49" i="3"/>
  <c r="AQ49" i="3" s="1"/>
  <c r="AC29" i="3"/>
  <c r="AO29" i="3" s="1"/>
  <c r="AE29" i="3"/>
  <c r="AQ29" i="3" s="1"/>
  <c r="AD29" i="3"/>
  <c r="AL48" i="3"/>
  <c r="AJ48" i="3"/>
  <c r="AN48" i="3" s="1"/>
  <c r="AI48" i="3"/>
  <c r="AP48" i="3" l="1"/>
  <c r="AK30" i="3"/>
  <c r="AM30" i="3"/>
  <c r="AK48" i="3"/>
  <c r="AM48" i="3"/>
  <c r="AL49" i="3"/>
  <c r="AJ49" i="3"/>
  <c r="AN49" i="3" s="1"/>
  <c r="AI49" i="3"/>
  <c r="AJ29" i="3"/>
  <c r="AN29" i="3" s="1"/>
  <c r="AL29" i="3"/>
  <c r="AI29" i="3"/>
  <c r="AP29" i="3" l="1"/>
  <c r="AP49" i="3"/>
  <c r="AK49" i="3"/>
  <c r="AM49" i="3"/>
  <c r="AK29" i="3"/>
  <c r="AM29" i="3"/>
</calcChain>
</file>

<file path=xl/sharedStrings.xml><?xml version="1.0" encoding="utf-8"?>
<sst xmlns="http://schemas.openxmlformats.org/spreadsheetml/2006/main" count="416" uniqueCount="319">
  <si>
    <t>https://www.moneycontrol.com/india/fnoquote/tvsmotor/TVS/2021-04-29/FUTSTK/XX/0.00/true</t>
  </si>
  <si>
    <t>https://www.moneycontrol.com/india/fnoquote/bajajfinance/BAF/2021-04-29/FUTSTK/XX/0.00/true</t>
  </si>
  <si>
    <t>https://www.moneycontrol.com/india/fnoquote/shriramtrans/STF/2021-04-29/FUTSTK/XX/0.00/true</t>
  </si>
  <si>
    <t>https://www.moneycontrol.com/india/fnoquote/indusindbank/IIB/2021-04-29/FUTSTK/XX/0.00/true</t>
  </si>
  <si>
    <t>https://www.moneycontrol.com/india/fnoquote/ausmallfinanc/ASF03/2021-04-29/FUTSTK/XX/0.00/true</t>
  </si>
  <si>
    <t>https://www.moneycontrol.com/india/fnoquote/eichermotors/EM/2021-04-29/FUTSTK/XX/0.00/true</t>
  </si>
  <si>
    <t>https://www.moneycontrol.com/india/fnoquote/bajajfinserv/BF04/2021-04-29/FUTSTK/XX/0.00/true</t>
  </si>
  <si>
    <t>https://www.moneycontrol.com/india/fnoquote/maxfinancial/MI/2021-04-29/FUTSTK/XX/0.00/true</t>
  </si>
  <si>
    <t>https://www.moneycontrol.com/india/fnoquote/kotakmahindra/KMF/2021-04-29/FUTSTK/XX/0.00/true</t>
  </si>
  <si>
    <t>https://www.moneycontrol.com/india/fnoquote/ltfinance/LFH/2021-04-29/FUTSTK/XX/0.00/true</t>
  </si>
  <si>
    <t>https://www.moneycontrol.com/india/fnoquote/icicibank/ICI02/2021-04-29/FUTSTK/XX/0.00/true</t>
  </si>
  <si>
    <t>https://www.moneycontrol.com/india/fnoquote/federalbank/FB/2021-04-29/FUTSTK/XX/0.00/true</t>
  </si>
  <si>
    <t>https://www.moneycontrol.com/india/fnoquote/apollotyres/AT/2021-04-29/FUTSTK/XX/0.00/true</t>
  </si>
  <si>
    <t>https://www.moneycontrol.com/india/fnoquote/bankbaroda/BOB/2021-04-29/FUTSTK/XX/0.00/true</t>
  </si>
  <si>
    <t>https://www.moneycontrol.com/india/fnoquote/unitedbrewerie/UBB/2021-04-29/FUTSTK/XX/0.00/true</t>
  </si>
  <si>
    <t>https://www.moneycontrol.com/india/fnoquote/lichousingfin/LIC/2021-04-29/FUTSTK/XX/0.00/true</t>
  </si>
  <si>
    <t>https://www.moneycontrol.com/india/fnoquote/rblbank/RB02/2021-04-29/FUTSTK/XX/0.00/true</t>
  </si>
  <si>
    <t>https://www.moneycontrol.com/india/fnoquote/mindtree/MC20/2021-04-29/FUTSTK/XX/0.00/true</t>
  </si>
  <si>
    <t>https://www.moneycontrol.com/india/fnoquote/cholainvest/CIF01/2021-04-29/FUTSTK/XX/0.00/true</t>
  </si>
  <si>
    <t>https://www.moneycontrol.com/india/fnoquote/sail/SAI/2021-04-29/FUTSTK/XX/0.00/true</t>
  </si>
  <si>
    <t>https://www.moneycontrol.com/india/indexfutures/banknifty/23/2021-04-29/FUTIDX/XX/0.00/true</t>
  </si>
  <si>
    <t>https://www.moneycontrol.com/india/fnoquote/unitedspirits/MC08/2021-04-29/FUTSTK/XX/0.00/true</t>
  </si>
  <si>
    <t>https://www.moneycontrol.com/india/indexfutures/finnifty//2021-04-29/FUTIDX/XX/0.00/true</t>
  </si>
  <si>
    <t>https://www.moneycontrol.com/india/fnoquote/bandhanbank/BB09/2021-04-29/FUTSTK/XX/0.00/true</t>
  </si>
  <si>
    <t>https://www.moneycontrol.com/india/fnoquote/sbi/SBI/2021-04-29/FUTSTK/XX/0.00/true</t>
  </si>
  <si>
    <t>https://www.moneycontrol.com/india/fnoquote/bajajauto/BA06/2021-04-29/FUTSTK/XX/0.00/true</t>
  </si>
  <si>
    <t>https://www.moneycontrol.com/india/fnoquote/idfcfirstbank/IDF01/2021-04-29/FUTSTK/XX/0.00/true</t>
  </si>
  <si>
    <t>https://www.moneycontrol.com/india/fnoquote/mothersonsumi/MSS01/2021-04-29/FUTSTK/XX/0.00/true</t>
  </si>
  <si>
    <t>https://www.moneycontrol.com/india/fnoquote/hdfcbank/HDF01/2021-04-29/FUTSTK/XX/0.00/true</t>
  </si>
  <si>
    <t>https://www.moneycontrol.com/india/fnoquote/piramalenter/NP07/2021-04-29/FUTSTK/XX/0.00/true</t>
  </si>
  <si>
    <t>https://www.moneycontrol.com/india/fnoquote/cityunionbank/CUB/2021-04-29/FUTSTK/XX/0.00/true</t>
  </si>
  <si>
    <t>https://www.moneycontrol.com/india/fnoquote/pidiliteind/PI11/2021-04-29/FUTSTK/XX/0.00/true</t>
  </si>
  <si>
    <t>https://www.moneycontrol.com/india/fnoquote/hdfc/HDF/2021-04-29/FUTSTK/XX/0.00/true</t>
  </si>
  <si>
    <t>https://www.moneycontrol.com/india/fnoquote/mphasis/BFL/2021-04-29/FUTSTK/XX/0.00/true</t>
  </si>
  <si>
    <t>https://www.moneycontrol.com/india/fnoquote/indiabullshsg/IHF01/2021-04-29/FUTSTK/XX/0.00/true</t>
  </si>
  <si>
    <t>https://www.moneycontrol.com/india/fnoquote/pnb/PNB05/2021-04-29/FUTSTK/XX/0.00/true</t>
  </si>
  <si>
    <t>https://www.moneycontrol.com/india/fnoquote/canarabank/CB06/2021-04-29/FUTSTK/XX/0.00/true</t>
  </si>
  <si>
    <t>https://www.moneycontrol.com/india/fnoquote/exideind/EI/2021-04-29/FUTSTK/XX/0.00/true</t>
  </si>
  <si>
    <t>https://www.moneycontrol.com/india/fnoquote/balkrishnaind/BI03/2021-04-29/FUTSTK/XX/0.00/true</t>
  </si>
  <si>
    <t>https://www.moneycontrol.com/india/fnoquote/powergridcorp/PGC/2021-04-29/FUTSTK/XX/0.00/true</t>
  </si>
  <si>
    <t>https://www.moneycontrol.com/india/fnoquote/industowers/BI26/2021-04-29/FUTSTK/XX/0.00/true</t>
  </si>
  <si>
    <t>https://www.moneycontrol.com/india/fnoquote/shreecements/SC12/2021-04-29/FUTSTK/XX/0.00/true</t>
  </si>
  <si>
    <t>https://www.moneycontrol.com/india/fnoquote/granulesindia/GI22/2021-04-29/FUTSTK/XX/0.00/true</t>
  </si>
  <si>
    <t>https://www.moneycontrol.com/india/fnoquote/ramcocements/MC/2021-04-29/FUTSTK/XX/0.00/true</t>
  </si>
  <si>
    <t>https://www.moneycontrol.com/india/fnoquote/asianpaints/API/2021-04-29/FUTSTK/XX/0.00/true</t>
  </si>
  <si>
    <t>https://www.moneycontrol.com/india/fnoquote/ntpc/NTP/2021-04-29/FUTSTK/XX/0.00/true</t>
  </si>
  <si>
    <t>https://www.moneycontrol.com/india/fnoquote/upl/SI10/2021-04-29/FUTSTK/XX/0.00/true</t>
  </si>
  <si>
    <t>https://www.moneycontrol.com/india/fnoquote/bosch/MIC/2021-04-29/FUTSTK/XX/0.00/true</t>
  </si>
  <si>
    <t>https://www.moneycontrol.com/india/fnoquote/drlalpathlab/DLP01/2021-04-29/FUTSTK/XX/0.00/true</t>
  </si>
  <si>
    <t>https://www.moneycontrol.com/india/fnoquote/suntvnetwork/STV01/2021-04-29/FUTSTK/XX/0.00/true</t>
  </si>
  <si>
    <t>https://www.moneycontrol.com/india/fnoquote/bhartiairtel/BTV/2021-04-29/FUTSTK/XX/0.00/true</t>
  </si>
  <si>
    <t>https://www.moneycontrol.com/india/indexfutures/nifty/9/2021-04-29/FUTIDX/XX/0.00/true</t>
  </si>
  <si>
    <t>https://www.moneycontrol.com/india/fnoquote/pvr/PVR/2021-04-29/FUTSTK/XX/0.00/true</t>
  </si>
  <si>
    <t>https://www.moneycontrol.com/india/fnoquote/siemens/S/2021-04-29/FUTSTK/XX/0.00/true</t>
  </si>
  <si>
    <t>https://www.moneycontrol.com/india/fnoquote/hul/HL/2021-04-29/FUTSTK/XX/0.00/true</t>
  </si>
  <si>
    <t>https://www.moneycontrol.com/india/fnoquote/lttechnology/LTS/2021-04-29/FUTSTK/XX/0.00/true</t>
  </si>
  <si>
    <t>https://www.moneycontrol.com/india/fnoquote/godrejconsumer/GCP/2021-04-29/FUTSTK/XX/0.00/true</t>
  </si>
  <si>
    <t>https://www.moneycontrol.com/india/fnoquote/grasim/GI01/2021-04-29/FUTSTK/XX/0.00/true</t>
  </si>
  <si>
    <t>https://www.moneycontrol.com/india/fnoquote/tatamotors/TEL/2021-04-29/FUTSTK/XX/0.00/true</t>
  </si>
  <si>
    <t>https://www.moneycontrol.com/india/fnoquote/ashokleyland/AL/2021-04-29/FUTSTK/XX/0.00/true</t>
  </si>
  <si>
    <t>https://www.moneycontrol.com/india/fnoquote/gail/GAI/2021-04-29/FUTSTK/XX/0.00/true</t>
  </si>
  <si>
    <t>https://www.moneycontrol.com/india/fnoquote/mmfinancial/MMF04/2021-04-29/FUTSTK/XX/0.00/true</t>
  </si>
  <si>
    <t>https://www.moneycontrol.com/india/fnoquote/techmahindra/TM4/2021-04-29/FUTSTK/XX/0.00/true</t>
  </si>
  <si>
    <t>https://www.moneycontrol.com/india/fnoquote/heromotocorp/HHM/2021-04-29/FUTSTK/XX/0.00/true</t>
  </si>
  <si>
    <t>https://www.moneycontrol.com/india/fnoquote/infoedge/IEI01/2021-04-29/FUTSTK/XX/0.00/true</t>
  </si>
  <si>
    <t>https://www.moneycontrol.com/india/fnoquote/amararajabatt/ARB/2021-04-29/FUTSTK/XX/0.00/true</t>
  </si>
  <si>
    <t>https://www.moneycontrol.com/india/fnoquote/ambujacements/GAC/2021-04-29/FUTSTK/XX/0.00/true</t>
  </si>
  <si>
    <t>https://www.moneycontrol.com/india/fnoquote/ultratechcement/UTC/2021-04-29/FUTSTK/XX/0.00/true</t>
  </si>
  <si>
    <t>https://www.moneycontrol.com/india/fnoquote/nippon/RNL/2021-04-29/FUTSTK/XX/0.00/true</t>
  </si>
  <si>
    <t>https://www.moneycontrol.com/india/fnoquote/ongc/ONG/2021-04-29/FUTSTK/XX/0.00/true</t>
  </si>
  <si>
    <t>https://www.moneycontrol.com/india/fnoquote/wipro/W/2021-04-29/FUTSTK/XX/0.00/true</t>
  </si>
  <si>
    <t>https://www.moneycontrol.com/india/fnoquote/axisbank/UTI10/2021-04-29/FUTSTK/XX/0.00/true</t>
  </si>
  <si>
    <t>https://www.moneycontrol.com/india/fnoquote/ioc/IOC/2021-04-29/FUTSTK/XX/0.00/true</t>
  </si>
  <si>
    <t>https://www.moneycontrol.com/india/fnoquote/manappuramfin/MGF01/2021-04-29/FUTSTK/XX/0.00/true</t>
  </si>
  <si>
    <t>https://www.moneycontrol.com/india/fnoquote/coalindia/CI29/2021-04-29/FUTSTK/XX/0.00/true</t>
  </si>
  <si>
    <t>https://www.moneycontrol.com/india/fnoquote/bergerpaints/BPI02/2021-04-29/FUTSTK/XX/0.00/true</t>
  </si>
  <si>
    <t>https://www.moneycontrol.com/india/fnoquote/coforgeltd/NII02/2021-04-29/FUTSTK/XX/0.00/true</t>
  </si>
  <si>
    <t>https://www.moneycontrol.com/india/fnoquote/marico/MI25/2021-04-29/FUTSTK/XX/0.00/true</t>
  </si>
  <si>
    <t>https://www.moneycontrol.com/india/fnoquote/titancompany/TI01/2021-04-29/FUTSTK/XX/0.00/true</t>
  </si>
  <si>
    <t>https://www.moneycontrol.com/india/fnoquote/daburindia/DI/2021-04-29/FUTSTK/XX/0.00/true</t>
  </si>
  <si>
    <t>https://www.moneycontrol.com/india/fnoquote/infosys/IT/2021-04-29/FUTSTK/XX/0.00/true</t>
  </si>
  <si>
    <t>https://www.moneycontrol.com/india/fnoquote/acc/ACC/2021-04-29/FUTSTK/XX/0.00/true</t>
  </si>
  <si>
    <t>https://www.moneycontrol.com/india/fnoquote/reliance/RI/2021-04-29/FUTSTK/XX/0.00/true</t>
  </si>
  <si>
    <t>https://www.moneycontrol.com/india/fnoquote/deepaknitrite/DN/2021-04-29/FUTSTK/XX/0.00/true</t>
  </si>
  <si>
    <t>https://www.moneycontrol.com/india/fnoquote/interglobeavi/IA05/2021-04-29/FUTSTK/XX/0.00/true</t>
  </si>
  <si>
    <t>https://www.moneycontrol.com/india/fnoquote/tataconsprod/TT/2021-04-29/FUTSTK/XX/0.00/true</t>
  </si>
  <si>
    <t>https://www.moneycontrol.com/india/fnoquote/sunpharma/SPI/2021-04-29/FUTSTK/XX/0.00/true</t>
  </si>
  <si>
    <t>https://www.moneycontrol.com/india/fnoquote/nmdc/NMD01/2021-04-29/FUTSTK/XX/0.00/true</t>
  </si>
  <si>
    <t>https://www.moneycontrol.com/india/fnoquote/escorts/E/2021-04-29/FUTSTK/XX/0.00/true</t>
  </si>
  <si>
    <t>https://www.moneycontrol.com/india/fnoquote/zeeentertain/ZT/2021-04-29/FUTSTK/XX/0.00/true</t>
  </si>
  <si>
    <t>https://www.moneycontrol.com/india/fnoquote/glenmark/GP08/2021-04-29/FUTSTK/XX/0.00/true</t>
  </si>
  <si>
    <t>https://www.moneycontrol.com/india/fnoquote/mm/MM/2021-04-29/FUTSTK/XX/0.00/true</t>
  </si>
  <si>
    <t>https://www.moneycontrol.com/india/fnoquote/marutisuzuki/MU01/2021-04-29/FUTSTK/XX/0.00/true</t>
  </si>
  <si>
    <t>https://www.moneycontrol.com/india/fnoquote/itc/ITC/2021-04-29/FUTSTK/XX/0.00/true</t>
  </si>
  <si>
    <t>https://www.moneycontrol.com/india/fnoquote/rec/REC02/2021-04-29/FUTSTK/XX/0.00/true</t>
  </si>
  <si>
    <t>https://www.moneycontrol.com/india/fnoquote/cadilahealth/CHC/2021-04-29/FUTSTK/XX/0.00/true</t>
  </si>
  <si>
    <t>https://www.moneycontrol.com/india/fnoquote/mrf/MRF/2021-04-29/FUTSTK/XX/0.00/true</t>
  </si>
  <si>
    <t>https://www.moneycontrol.com/india/fnoquote/sbilifeinsura/SLI03/2021-04-29/FUTSTK/XX/0.00/true</t>
  </si>
  <si>
    <t>https://www.moneycontrol.com/india/fnoquote/bataindia/BI01/2021-04-29/FUTSTK/XX/0.00/true</t>
  </si>
  <si>
    <t>https://www.moneycontrol.com/india/fnoquote/tatachemicals/TC/2021-04-29/FUTSTK/XX/0.00/true</t>
  </si>
  <si>
    <t>https://www.moneycontrol.com/india/fnoquote/igl/IG04/2021-04-29/FUTSTK/XX/0.00/true</t>
  </si>
  <si>
    <t>https://www.moneycontrol.com/india/fnoquote/mahanagargas/MG02/2021-04-29/FUTSTK/XX/0.00/true</t>
  </si>
  <si>
    <t>https://www.moneycontrol.com/india/fnoquote/navinfluorine/PRC/2021-04-29/FUTSTK/XX/0.00/true</t>
  </si>
  <si>
    <t>https://www.moneycontrol.com/india/fnoquote/trent/L/2021-04-29/FUTSTK/XX/0.00/true</t>
  </si>
  <si>
    <t>https://www.moneycontrol.com/india/fnoquote/piindustries/PII/2021-04-29/FUTSTK/XX/0.00/true</t>
  </si>
  <si>
    <t>https://www.moneycontrol.com/india/fnoquote/biocon/BL03/2021-04-29/FUTSTK/XX/0.00/true</t>
  </si>
  <si>
    <t>https://www.moneycontrol.com/india/fnoquote/alembicpharma/AP29/2021-04-29/FUTSTK/XX/0.00/true</t>
  </si>
  <si>
    <t>https://www.moneycontrol.com/india/fnoquote/hdfcamc/HAM02/2021-04-29/FUTSTK/XX/0.00/true</t>
  </si>
  <si>
    <t>https://www.moneycontrol.com/india/fnoquote/gujaratgas/GGC/2021-04-29/FUTSTK/XX/0.00/true</t>
  </si>
  <si>
    <t>https://www.moneycontrol.com/india/fnoquote/britannia/BI/2021-04-29/FUTSTK/XX/0.00/true</t>
  </si>
  <si>
    <t>https://www.moneycontrol.com/india/fnoquote/jindalsteel/JSP/2021-04-29/FUTSTK/XX/0.00/true</t>
  </si>
  <si>
    <t>https://www.moneycontrol.com/india/fnoquote/voltas/V/2021-04-29/FUTSTK/XX/0.00/true</t>
  </si>
  <si>
    <t>https://www.moneycontrol.com/india/fnoquote/cummins/CI02/2021-04-29/FUTSTK/XX/0.00/true</t>
  </si>
  <si>
    <t>https://www.moneycontrol.com/india/fnoquote/lupin/LC03/2021-04-29/FUTSTK/XX/0.00/true</t>
  </si>
  <si>
    <t>https://www.moneycontrol.com/india/fnoquote/torrentpharma/TP06/2021-04-29/FUTSTK/XX/0.00/true</t>
  </si>
  <si>
    <t>https://www.moneycontrol.com/india/fnoquote/icicilombard/ILG/2021-04-29/FUTSTK/XX/0.00/true</t>
  </si>
  <si>
    <t>https://www.moneycontrol.com/india/fnoquote/gmrinfra/GI27/2021-04-29/FUTSTK/XX/0.00/true</t>
  </si>
  <si>
    <t>https://www.moneycontrol.com/india/fnoquote/divislabs/DL03/2021-04-29/FUTSTK/XX/0.00/true</t>
  </si>
  <si>
    <t>https://www.moneycontrol.com/india/fnoquote/iciciprudentia/IPL01/2021-04-29/FUTSTK/XX/0.00/true</t>
  </si>
  <si>
    <t>https://www.moneycontrol.com/india/fnoquote/srf/SRF/2021-04-29/FUTSTK/XX/0.00/true</t>
  </si>
  <si>
    <t>https://www.moneycontrol.com/india/fnoquote/aurobindopharm/AP/2021-04-29/FUTSTK/XX/0.00/true</t>
  </si>
  <si>
    <t>https://www.moneycontrol.com/india/fnoquote/vodafoneidea/IC8/2021-04-29/FUTSTK/XX/0.00/true</t>
  </si>
  <si>
    <t>https://www.moneycontrol.com/india/fnoquote/aartiind/AI/2021-04-29/FUTSTK/XX/0.00/true</t>
  </si>
  <si>
    <t>https://www.moneycontrol.com/india/fnoquote/hindalco/H/2021-04-29/FUTSTK/XX/0.00/true</t>
  </si>
  <si>
    <t>https://www.moneycontrol.com/india/fnoquote/adanienterpris/AE01/2021-04-29/FUTSTK/XX/0.00/true</t>
  </si>
  <si>
    <t>https://www.moneycontrol.com/india/fnoquote/adaniports/MPS/2021-04-29/FUTSTK/XX/0.00/true</t>
  </si>
  <si>
    <t>https://www.moneycontrol.com/india/fnoquote/godrejprop/GP11/2021-04-29/FUTSTK/XX/0.00/true</t>
  </si>
  <si>
    <t>https://www.moneycontrol.com/india/fnoquote/havellsindia/HI01/2021-04-29/FUTSTK/XX/0.00/true</t>
  </si>
  <si>
    <t>https://www.moneycontrol.com/india/fnoquote/jubilantfood/JF04/2021-04-29/FUTSTK/XX/0.00/true</t>
  </si>
  <si>
    <t>https://www.moneycontrol.com/india/fnoquote/nestle/NI/2021-04-29/FUTSTK/XX/0.00/true</t>
  </si>
  <si>
    <t>https://www.moneycontrol.com/india/fnoquote/dlf/D04/2021-04-29/FUTSTK/XX/0.00/true</t>
  </si>
  <si>
    <t>https://www.moneycontrol.com/india/fnoquote/petronetlng/PLN/2021-04-29/FUTSTK/XX/0.00/true</t>
  </si>
  <si>
    <t>https://www.moneycontrol.com/india/fnoquote/pageindustries/PI35/2021-04-29/FUTSTK/XX/0.00/true</t>
  </si>
  <si>
    <t>https://www.moneycontrol.com/india/fnoquote/bhel/BHE/2021-04-29/FUTSTK/XX/0.00/true</t>
  </si>
  <si>
    <t>https://www.moneycontrol.com/india/fnoquote/hdfclife/HSL01/2021-04-29/FUTSTK/XX/0.00/true</t>
  </si>
  <si>
    <t>https://www.moneycontrol.com/india/fnoquote/ltinfotech/LI09/2021-04-29/FUTSTK/XX/0.00/true</t>
  </si>
  <si>
    <t>https://www.moneycontrol.com/india/fnoquote/bharatelec/BE03/2021-04-29/FUTSTK/XX/0.00/true</t>
  </si>
  <si>
    <t>https://www.moneycontrol.com/india/fnoquote/cipla/C/2021-04-29/FUTSTK/XX/0.00/true</t>
  </si>
  <si>
    <t>https://www.moneycontrol.com/india/fnoquote/bpcl/BPC/2021-04-29/FUTSTK/XX/0.00/true</t>
  </si>
  <si>
    <t>https://www.moneycontrol.com/india/fnoquote/hpcl/HPC/2021-04-29/FUTSTK/XX/0.00/true</t>
  </si>
  <si>
    <t>https://www.moneycontrol.com/india/fnoquote/bharatforge/BFC/2021-04-29/FUTSTK/XX/0.00/true</t>
  </si>
  <si>
    <t>https://www.moneycontrol.com/india/fnoquote/tatasteel/TIS/2021-04-29/FUTSTK/XX/0.00/true</t>
  </si>
  <si>
    <t>https://www.moneycontrol.com/india/fnoquote/colgate/CPI/2021-04-29/FUTSTK/XX/0.00/true</t>
  </si>
  <si>
    <t>https://www.moneycontrol.com/india/fnoquote/pfizer/P/2021-04-29/FUTSTK/XX/0.00/true</t>
  </si>
  <si>
    <t>https://www.moneycontrol.com/india/fnoquote/hcltech/HCL02/2021-04-29/FUTSTK/XX/0.00/true</t>
  </si>
  <si>
    <t>https://www.moneycontrol.com/india/fnoquote/vedanta/SG/2021-04-29/FUTSTK/XX/0.00/true</t>
  </si>
  <si>
    <t>https://www.moneycontrol.com/india/fnoquote/powerfinance/PFC02/2021-04-29/FUTSTK/XX/0.00/true</t>
  </si>
  <si>
    <t>https://www.moneycontrol.com/india/fnoquote/torrentpower/TP13/2021-04-29/FUTSTK/XX/0.00/true</t>
  </si>
  <si>
    <t>https://www.moneycontrol.com/india/fnoquote/jswsteel/JVS/2021-04-29/FUTSTK/XX/0.00/true</t>
  </si>
  <si>
    <t>https://www.moneycontrol.com/india/fnoquote/apollohospital/AHE/2021-04-29/FUTSTK/XX/0.00/true</t>
  </si>
  <si>
    <t>https://www.moneycontrol.com/india/fnoquote/drreddyslabs/DRL/2021-04-29/FUTSTK/XX/0.00/true</t>
  </si>
  <si>
    <t>https://www.moneycontrol.com/india/fnoquote/nalco/NAC/2021-04-29/FUTSTK/XX/0.00/true</t>
  </si>
  <si>
    <t>https://www.moneycontrol.com/india/fnoquote/tcs/TCS/2021-04-29/FUTSTK/XX/0.00/true</t>
  </si>
  <si>
    <t>https://www.moneycontrol.com/india/fnoquote/containercorp/CCI/2021-04-29/FUTSTK/XX/0.00/true</t>
  </si>
  <si>
    <t>https://www.moneycontrol.com/india/fnoquote/larsen/LT/2021-04-29/FUTSTK/XX/0.00/true</t>
  </si>
  <si>
    <t>https://www.moneycontrol.com/india/fnoquote/irctc/IRC/2021-04-29/FUTSTK/XX/0.00/true</t>
  </si>
  <si>
    <t>https://www.moneycontrol.com/india/fnoquote/muthootfinance/MF19/2021-04-29/FUTSTK/XX/0.00/true</t>
  </si>
  <si>
    <t>https://www.moneycontrol.com/india/fnoquote/tatapower/TPC/2021-04-29/FUTSTK/XX/0.00/true</t>
  </si>
  <si>
    <t>https://www.moneycontrol.com/india/fnoquote/alkemlab/AL16/2021-04-29/FUTSTK/XX/0.00/true</t>
  </si>
  <si>
    <t>SYMBOL</t>
  </si>
  <si>
    <t>Calls.1</t>
  </si>
  <si>
    <t>Calls.2</t>
  </si>
  <si>
    <t>Price</t>
  </si>
  <si>
    <t>Volumes</t>
  </si>
  <si>
    <t>nifty/9/</t>
  </si>
  <si>
    <t>Expiry
Date</t>
  </si>
  <si>
    <t>NIFTY</t>
  </si>
  <si>
    <t>03Jun2021 - 15,500.00</t>
  </si>
  <si>
    <t>price</t>
  </si>
  <si>
    <t>oi</t>
  </si>
  <si>
    <t>banknifty/23/</t>
  </si>
  <si>
    <t>03Jun2021 - 15,400.00</t>
  </si>
  <si>
    <t>03Jun2021 - 15,300.00</t>
  </si>
  <si>
    <t>03Jun2021 - 15,000.00</t>
  </si>
  <si>
    <t>CALL</t>
  </si>
  <si>
    <t>PUTS</t>
  </si>
  <si>
    <t>03Jun2021 - 15,100.00</t>
  </si>
  <si>
    <t>LTP (Rs)</t>
  </si>
  <si>
    <t>Net Chg</t>
  </si>
  <si>
    <t>Volume</t>
  </si>
  <si>
    <t>Open InT</t>
  </si>
  <si>
    <t>Chg Open Int</t>
  </si>
  <si>
    <t>STRIKE PRICE</t>
  </si>
  <si>
    <t>Open Int</t>
  </si>
  <si>
    <t>Cng Open Int</t>
  </si>
  <si>
    <t>identifier</t>
  </si>
  <si>
    <t>TIME</t>
  </si>
  <si>
    <t>CALLOI</t>
  </si>
  <si>
    <t>PUT OI</t>
  </si>
  <si>
    <t>CUMMULATIVE FUT OI</t>
  </si>
  <si>
    <t>FUT PRICE</t>
  </si>
  <si>
    <t>STRADDLE</t>
  </si>
  <si>
    <t>oidiff</t>
  </si>
  <si>
    <t>Open Price</t>
  </si>
  <si>
    <t>High Price</t>
  </si>
  <si>
    <t>Low Price</t>
  </si>
  <si>
    <t>Prev. Close</t>
  </si>
  <si>
    <t>Spot Price</t>
  </si>
  <si>
    <t>Open Int PCR</t>
  </si>
  <si>
    <t>Prev OI PCR</t>
  </si>
  <si>
    <t>Bid Price</t>
  </si>
  <si>
    <t>Bid Qty</t>
  </si>
  <si>
    <t>symbol</t>
  </si>
  <si>
    <t>INDEX</t>
  </si>
  <si>
    <t>STRIKE DIFF</t>
  </si>
  <si>
    <t>FUT EXPIRY</t>
  </si>
  <si>
    <t>OI PCR</t>
  </si>
  <si>
    <t xml:space="preserve">EXPIRY </t>
  </si>
  <si>
    <t>WEEKLY</t>
  </si>
  <si>
    <t>INTRADAY</t>
  </si>
  <si>
    <t>RFR</t>
  </si>
  <si>
    <t>div yield</t>
  </si>
  <si>
    <t>DAYS TO EXPIRY</t>
  </si>
  <si>
    <t>decimal(t)</t>
  </si>
  <si>
    <t>CALL SIDE</t>
  </si>
  <si>
    <t>SPOT PRICE</t>
  </si>
  <si>
    <t>PUT SIDE</t>
  </si>
  <si>
    <t>inrin</t>
  </si>
  <si>
    <t>P.DAY OI</t>
  </si>
  <si>
    <t>CALL OI</t>
  </si>
  <si>
    <t>CALL COI</t>
  </si>
  <si>
    <t>calliv</t>
  </si>
  <si>
    <t>LTP</t>
  </si>
  <si>
    <t>putiv</t>
  </si>
  <si>
    <t>PUT COI</t>
  </si>
  <si>
    <t>intrinsic</t>
  </si>
  <si>
    <t>vol call</t>
  </si>
  <si>
    <t>d1</t>
  </si>
  <si>
    <t>d2</t>
  </si>
  <si>
    <t>nd1</t>
  </si>
  <si>
    <t>nd2</t>
  </si>
  <si>
    <t>n'd1</t>
  </si>
  <si>
    <t>callprice</t>
  </si>
  <si>
    <t>delta</t>
  </si>
  <si>
    <t>gamma</t>
  </si>
  <si>
    <t>theta</t>
  </si>
  <si>
    <t>vega</t>
  </si>
  <si>
    <t>original vega</t>
  </si>
  <si>
    <t>vol put</t>
  </si>
  <si>
    <t>put price</t>
  </si>
  <si>
    <t>TOTAL</t>
  </si>
  <si>
    <t>Implied Volatility of a European Option</t>
  </si>
  <si>
    <t>http://investexcel.net</t>
  </si>
  <si>
    <t>Intermediate Calculations</t>
  </si>
  <si>
    <t>Parameters</t>
  </si>
  <si>
    <t>Call</t>
  </si>
  <si>
    <t>Put</t>
  </si>
  <si>
    <t>n_dash_d1</t>
  </si>
  <si>
    <t>Value</t>
  </si>
  <si>
    <t>Strike Price</t>
  </si>
  <si>
    <t>Delta</t>
  </si>
  <si>
    <t>Risk-Free Rate</t>
  </si>
  <si>
    <t>Gamma</t>
  </si>
  <si>
    <t>Volatility</t>
  </si>
  <si>
    <t>Vega</t>
  </si>
  <si>
    <t>Dividend Yield</t>
  </si>
  <si>
    <t>Theta</t>
  </si>
  <si>
    <t>Expiry Time</t>
  </si>
  <si>
    <t>FUT OI</t>
  </si>
  <si>
    <t>OI DIFF</t>
  </si>
  <si>
    <t>STOCK PRICE(S)</t>
  </si>
  <si>
    <t>STRIKE(K)</t>
  </si>
  <si>
    <t>DTE(T)</t>
  </si>
  <si>
    <t>R</t>
  </si>
  <si>
    <t>CO</t>
  </si>
  <si>
    <t>VOL</t>
  </si>
  <si>
    <t>D1</t>
  </si>
  <si>
    <t>D2</t>
  </si>
  <si>
    <t>VEGA</t>
  </si>
  <si>
    <t>call price(bs)</t>
  </si>
  <si>
    <t>new volatility</t>
  </si>
  <si>
    <t>Symbol</t>
  </si>
  <si>
    <t>Last
Price</t>
  </si>
  <si>
    <t>Change</t>
  </si>
  <si>
    <t>Chge
%</t>
  </si>
  <si>
    <t>High
Low</t>
  </si>
  <si>
    <t>Average
Price</t>
  </si>
  <si>
    <t>Vol - Shares
Contracts</t>
  </si>
  <si>
    <t>Value
(Rs. Lakh)</t>
  </si>
  <si>
    <t>Open
Interest</t>
  </si>
  <si>
    <t>Open Int Chg</t>
  </si>
  <si>
    <t>MIDCPNIFTY</t>
  </si>
  <si>
    <t>7,554.00
7,554.00</t>
  </si>
  <si>
    <t>75
0</t>
  </si>
  <si>
    <t>75</t>
  </si>
  <si>
    <t>75
0.00%</t>
  </si>
  <si>
    <t>18,866.00
18,744.05</t>
  </si>
  <si>
    <t>129,900
2,598</t>
  </si>
  <si>
    <t>60,200</t>
  </si>
  <si>
    <t>60,200
0.00%</t>
  </si>
  <si>
    <t>18,770.00
18,688.00</t>
  </si>
  <si>
    <t>459,650
9,193</t>
  </si>
  <si>
    <t>1,095,550</t>
  </si>
  <si>
    <t>92,400
9.21%</t>
  </si>
  <si>
    <t>18,668.20
18,581.15</t>
  </si>
  <si>
    <t>6,291,250
125,825</t>
  </si>
  <si>
    <t>11,331,150</t>
  </si>
  <si>
    <t>140,950
1.26%</t>
  </si>
  <si>
    <t>BANKNIFTY</t>
  </si>
  <si>
    <t>43,792.65
43,417.05</t>
  </si>
  <si>
    <t>125,775
5,031</t>
  </si>
  <si>
    <t>283,275</t>
  </si>
  <si>
    <t>29,200
11.49%</t>
  </si>
  <si>
    <t>FINNIFTY</t>
  </si>
  <si>
    <t>19,998.80
19,349.00</t>
  </si>
  <si>
    <t>6,320
0</t>
  </si>
  <si>
    <t>2,080
86.67%</t>
  </si>
  <si>
    <t>19,340.15
19,185.00</t>
  </si>
  <si>
    <t>14,120
0</t>
  </si>
  <si>
    <t>-120
-1.89%</t>
  </si>
  <si>
    <t>43,566.10
43,140.00</t>
  </si>
  <si>
    <t>2,910,750
116,430</t>
  </si>
  <si>
    <t>-247,550
-8.15%</t>
  </si>
  <si>
    <t>43,989.95
43,650.05</t>
  </si>
  <si>
    <t>33,025
1,321</t>
  </si>
  <si>
    <t>12,900
0.00%</t>
  </si>
  <si>
    <t>19,420.00
19,419.95</t>
  </si>
  <si>
    <t>80
3</t>
  </si>
  <si>
    <t>40
25.00%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</si>
</sst>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/m/yyyy"/>
    <numFmt numFmtId="165" formatCode="yyyy\-mm\-dd"/>
    <numFmt numFmtId="166" formatCode="hmm"/>
    <numFmt numFmtId="167" formatCode="0.000"/>
    <numFmt numFmtId="168" formatCode="0.0"/>
    <numFmt numFmtId="169" formatCode="0.0%"/>
    <numFmt numFmtId="170" formatCode="0.0000"/>
    <numFmt numFmtId="171" formatCode="_-* #,##0.00_-;\-* #,##0.00_-;_-* &quot;-&quot;??_-;_-@"/>
  </numFmts>
  <fonts count="25">
    <font>
      <sz val="11"/>
      <color theme="1"/>
      <name val="Calibri"/>
      <scheme val="minor"/>
    </font>
    <font>
      <sz val="11"/>
      <color theme="1"/>
      <name val="Calibri"/>
    </font>
    <font>
      <sz val="11"/>
      <color theme="1"/>
      <name val="Calibri"/>
      <scheme val="minor"/>
    </font>
    <font>
      <sz val="12"/>
      <color theme="1"/>
      <name val="Calibri"/>
    </font>
    <font>
      <sz val="14"/>
      <color theme="1"/>
      <name val="Calibri"/>
    </font>
    <font>
      <sz val="9"/>
      <color theme="1"/>
      <name val="Calibri"/>
    </font>
    <font>
      <sz val="12"/>
      <color rgb="FF000000"/>
      <name val="Calibri"/>
    </font>
    <font>
      <b/>
      <sz val="11"/>
      <color theme="1"/>
      <name val="Calibri"/>
    </font>
    <font>
      <b/>
      <sz val="14"/>
      <color theme="1"/>
      <name val="Calibri"/>
    </font>
    <font>
      <b/>
      <sz val="14"/>
      <color rgb="FF000000"/>
      <name val="Arial"/>
    </font>
    <font>
      <b/>
      <sz val="9"/>
      <color theme="1"/>
      <name val="Calibri"/>
    </font>
    <font>
      <sz val="10"/>
      <color theme="1"/>
      <name val="Calibri"/>
    </font>
    <font>
      <sz val="11"/>
      <name val="Calibri"/>
    </font>
    <font>
      <b/>
      <sz val="9"/>
      <color theme="0"/>
      <name val="Calibri"/>
    </font>
    <font>
      <b/>
      <sz val="24"/>
      <color theme="1"/>
      <name val="Arial"/>
    </font>
    <font>
      <sz val="10"/>
      <color theme="1"/>
      <name val="Arial"/>
    </font>
    <font>
      <u/>
      <sz val="10"/>
      <color rgb="FF0000FF"/>
      <name val="Arial"/>
    </font>
    <font>
      <i/>
      <sz val="10"/>
      <color theme="1"/>
      <name val="Arial"/>
    </font>
    <font>
      <b/>
      <i/>
      <sz val="10"/>
      <color theme="1"/>
      <name val="Arial"/>
    </font>
    <font>
      <b/>
      <sz val="10"/>
      <color theme="1"/>
      <name val="Arial"/>
    </font>
    <font>
      <sz val="11"/>
      <color rgb="FF000000"/>
      <name val="Arial"/>
    </font>
    <font>
      <sz val="11"/>
      <color rgb="FF4A4A4A"/>
      <name val="Roboto"/>
    </font>
    <font>
      <sz val="11"/>
      <color rgb="FF03050A"/>
      <name val="Roboto"/>
    </font>
    <font>
      <b/>
      <sz val="12"/>
      <color theme="1"/>
      <name val="Calibri"/>
    </font>
    <font>
      <sz val="11"/>
      <color rgb="FF000000"/>
      <name val="Calibri"/>
    </font>
  </fonts>
  <fills count="19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6F6F6"/>
        <bgColor rgb="FFF6F6F6"/>
      </patternFill>
    </fill>
    <fill>
      <patternFill patternType="solid">
        <fgColor theme="4"/>
        <bgColor theme="4"/>
      </patternFill>
    </fill>
    <fill>
      <patternFill patternType="solid">
        <fgColor rgb="FFFBE4D5"/>
        <bgColor rgb="FFFBE4D5"/>
      </patternFill>
    </fill>
    <fill>
      <patternFill patternType="solid">
        <fgColor rgb="FFF4B083"/>
        <bgColor rgb="FFF4B083"/>
      </patternFill>
    </fill>
    <fill>
      <patternFill patternType="solid">
        <fgColor rgb="FF00B0F0"/>
        <bgColor rgb="FF00B0F0"/>
      </patternFill>
    </fill>
    <fill>
      <patternFill patternType="solid">
        <fgColor rgb="FFE7E6E6"/>
        <bgColor rgb="FFE7E6E6"/>
      </patternFill>
    </fill>
    <fill>
      <patternFill patternType="solid">
        <fgColor rgb="FFD8D8D8"/>
        <bgColor rgb="FFD8D8D8"/>
      </patternFill>
    </fill>
    <fill>
      <patternFill patternType="solid">
        <fgColor rgb="FF0070C0"/>
        <bgColor rgb="FF0070C0"/>
      </patternFill>
    </fill>
    <fill>
      <patternFill patternType="solid">
        <fgColor rgb="FF8EAADB"/>
        <bgColor rgb="FF8EAADB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FF0000"/>
        <bgColor rgb="FFFF0000"/>
      </patternFill>
    </fill>
    <fill>
      <patternFill patternType="solid">
        <fgColor rgb="FFF2F2F2"/>
        <bgColor rgb="FFF2F2F2"/>
      </patternFill>
    </fill>
    <fill>
      <patternFill patternType="solid">
        <fgColor rgb="FFDEEAF6"/>
        <bgColor rgb="FFDEEAF6"/>
      </patternFill>
    </fill>
    <fill>
      <patternFill patternType="solid">
        <fgColor rgb="FFF7E8D5"/>
        <bgColor rgb="FFF7E8D5"/>
      </patternFill>
    </fill>
    <fill>
      <patternFill patternType="solid">
        <fgColor rgb="FFFFFFFF"/>
        <bgColor rgb="FFFFFFFF"/>
      </patternFill>
    </fill>
  </fills>
  <borders count="28">
    <border>
      <left/>
      <right/>
      <top/>
      <bottom/>
      <diagonal/>
    </border>
    <border>
      <left style="thin">
        <color rgb="FFA8D08D"/>
      </left>
      <right style="thin">
        <color rgb="FFA8D08D"/>
      </right>
      <top style="thin">
        <color rgb="FFA8D08D"/>
      </top>
      <bottom style="thin">
        <color rgb="FFA8D08D"/>
      </bottom>
      <diagonal/>
    </border>
    <border>
      <left style="medium">
        <color rgb="FFE9E9E9"/>
      </left>
      <right/>
      <top style="medium">
        <color rgb="FFE9E9E9"/>
      </top>
      <bottom style="medium">
        <color rgb="FFE9E9E9"/>
      </bottom>
      <diagonal/>
    </border>
    <border>
      <left/>
      <right/>
      <top style="medium">
        <color rgb="FFE9E9E9"/>
      </top>
      <bottom style="medium">
        <color rgb="FFE9E9E9"/>
      </bottom>
      <diagonal/>
    </border>
    <border>
      <left/>
      <right style="medium">
        <color rgb="FFE9E9E9"/>
      </right>
      <top style="medium">
        <color rgb="FFE9E9E9"/>
      </top>
      <bottom style="medium">
        <color rgb="FFE9E9E9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E3E3E3"/>
      </left>
      <right style="thin">
        <color rgb="FFE3E3E3"/>
      </right>
      <top style="thin">
        <color rgb="FFE3E3E3"/>
      </top>
      <bottom style="thin">
        <color rgb="FFE3E3E3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0" xfId="0" applyFont="1"/>
    <xf numFmtId="0" fontId="4" fillId="0" borderId="0" xfId="0" applyFont="1"/>
    <xf numFmtId="0" fontId="6" fillId="0" borderId="0" xfId="0" applyFont="1" applyAlignment="1">
      <alignment vertical="center"/>
    </xf>
    <xf numFmtId="0" fontId="4" fillId="0" borderId="0" xfId="0" applyFont="1" applyAlignment="1">
      <alignment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/>
    <xf numFmtId="164" fontId="4" fillId="0" borderId="0" xfId="0" applyNumberFormat="1" applyFont="1"/>
    <xf numFmtId="165" fontId="1" fillId="0" borderId="0" xfId="0" applyNumberFormat="1" applyFont="1" applyAlignment="1">
      <alignment vertical="center" wrapText="1"/>
    </xf>
    <xf numFmtId="164" fontId="4" fillId="0" borderId="1" xfId="0" applyNumberFormat="1" applyFont="1" applyBorder="1"/>
    <xf numFmtId="164" fontId="4" fillId="2" borderId="1" xfId="0" applyNumberFormat="1" applyFont="1" applyFill="1" applyBorder="1"/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4" fontId="1" fillId="0" borderId="0" xfId="0" applyNumberFormat="1" applyFont="1"/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20" fontId="5" fillId="0" borderId="0" xfId="0" applyNumberFormat="1" applyFont="1"/>
    <xf numFmtId="166" fontId="5" fillId="0" borderId="0" xfId="0" applyNumberFormat="1" applyFont="1"/>
    <xf numFmtId="0" fontId="10" fillId="4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0" fillId="5" borderId="6" xfId="0" applyFont="1" applyFill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165" fontId="5" fillId="0" borderId="0" xfId="0" applyNumberFormat="1" applyFont="1"/>
    <xf numFmtId="0" fontId="5" fillId="7" borderId="6" xfId="0" applyFont="1" applyFill="1" applyBorder="1" applyAlignment="1">
      <alignment horizontal="center"/>
    </xf>
    <xf numFmtId="0" fontId="5" fillId="0" borderId="6" xfId="0" applyFont="1" applyBorder="1"/>
    <xf numFmtId="0" fontId="10" fillId="0" borderId="0" xfId="0" applyFont="1"/>
    <xf numFmtId="0" fontId="11" fillId="8" borderId="5" xfId="0" applyFont="1" applyFill="1" applyBorder="1" applyAlignment="1"/>
    <xf numFmtId="0" fontId="10" fillId="0" borderId="6" xfId="0" applyFont="1" applyBorder="1" applyAlignment="1">
      <alignment horizontal="center"/>
    </xf>
    <xf numFmtId="165" fontId="5" fillId="0" borderId="6" xfId="0" applyNumberFormat="1" applyFont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165" fontId="5" fillId="0" borderId="6" xfId="0" applyNumberFormat="1" applyFont="1" applyBorder="1"/>
    <xf numFmtId="167" fontId="5" fillId="0" borderId="6" xfId="0" applyNumberFormat="1" applyFont="1" applyBorder="1"/>
    <xf numFmtId="167" fontId="5" fillId="0" borderId="0" xfId="0" applyNumberFormat="1" applyFont="1"/>
    <xf numFmtId="0" fontId="10" fillId="0" borderId="6" xfId="0" applyFont="1" applyBorder="1"/>
    <xf numFmtId="0" fontId="10" fillId="9" borderId="6" xfId="0" applyFont="1" applyFill="1" applyBorder="1" applyAlignment="1">
      <alignment horizontal="center"/>
    </xf>
    <xf numFmtId="2" fontId="5" fillId="0" borderId="0" xfId="0" applyNumberFormat="1" applyFont="1"/>
    <xf numFmtId="0" fontId="5" fillId="10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/>
    </xf>
    <xf numFmtId="2" fontId="10" fillId="11" borderId="6" xfId="0" applyNumberFormat="1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12" borderId="6" xfId="0" applyFont="1" applyFill="1" applyBorder="1"/>
    <xf numFmtId="0" fontId="5" fillId="0" borderId="6" xfId="0" applyFont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168" fontId="5" fillId="13" borderId="6" xfId="0" applyNumberFormat="1" applyFont="1" applyFill="1" applyBorder="1" applyAlignment="1">
      <alignment horizontal="center"/>
    </xf>
    <xf numFmtId="0" fontId="5" fillId="14" borderId="6" xfId="0" applyFont="1" applyFill="1" applyBorder="1" applyAlignment="1">
      <alignment horizontal="center" vertical="center"/>
    </xf>
    <xf numFmtId="168" fontId="5" fillId="14" borderId="6" xfId="0" applyNumberFormat="1" applyFont="1" applyFill="1" applyBorder="1" applyAlignment="1">
      <alignment horizontal="center"/>
    </xf>
    <xf numFmtId="9" fontId="5" fillId="0" borderId="0" xfId="0" applyNumberFormat="1" applyFont="1"/>
    <xf numFmtId="9" fontId="5" fillId="0" borderId="0" xfId="0" applyNumberFormat="1" applyFont="1" applyAlignment="1">
      <alignment horizontal="center"/>
    </xf>
    <xf numFmtId="169" fontId="5" fillId="0" borderId="0" xfId="0" applyNumberFormat="1" applyFont="1" applyAlignment="1">
      <alignment horizontal="center"/>
    </xf>
    <xf numFmtId="2" fontId="5" fillId="0" borderId="6" xfId="0" applyNumberFormat="1" applyFont="1" applyBorder="1"/>
    <xf numFmtId="170" fontId="5" fillId="0" borderId="6" xfId="0" applyNumberFormat="1" applyFont="1" applyBorder="1"/>
    <xf numFmtId="170" fontId="5" fillId="12" borderId="6" xfId="0" applyNumberFormat="1" applyFont="1" applyFill="1" applyBorder="1"/>
    <xf numFmtId="170" fontId="5" fillId="0" borderId="0" xfId="0" applyNumberFormat="1" applyFont="1"/>
    <xf numFmtId="0" fontId="5" fillId="12" borderId="6" xfId="0" applyFont="1" applyFill="1" applyBorder="1" applyAlignment="1">
      <alignment horizontal="center" vertical="center"/>
    </xf>
    <xf numFmtId="0" fontId="5" fillId="12" borderId="5" xfId="0" applyFont="1" applyFill="1" applyBorder="1" applyAlignment="1">
      <alignment horizontal="center"/>
    </xf>
    <xf numFmtId="169" fontId="5" fillId="12" borderId="5" xfId="0" applyNumberFormat="1" applyFont="1" applyFill="1" applyBorder="1" applyAlignment="1">
      <alignment horizontal="center"/>
    </xf>
    <xf numFmtId="2" fontId="5" fillId="12" borderId="6" xfId="0" applyNumberFormat="1" applyFont="1" applyFill="1" applyBorder="1"/>
    <xf numFmtId="170" fontId="5" fillId="12" borderId="5" xfId="0" applyNumberFormat="1" applyFont="1" applyFill="1" applyBorder="1"/>
    <xf numFmtId="0" fontId="5" fillId="0" borderId="10" xfId="0" applyFont="1" applyBorder="1" applyAlignment="1">
      <alignment horizontal="center" vertical="center"/>
    </xf>
    <xf numFmtId="2" fontId="5" fillId="0" borderId="11" xfId="0" applyNumberFormat="1" applyFont="1" applyBorder="1"/>
    <xf numFmtId="170" fontId="5" fillId="0" borderId="11" xfId="0" applyNumberFormat="1" applyFont="1" applyBorder="1"/>
    <xf numFmtId="170" fontId="5" fillId="12" borderId="12" xfId="0" applyNumberFormat="1" applyFont="1" applyFill="1" applyBorder="1"/>
    <xf numFmtId="170" fontId="5" fillId="0" borderId="6" xfId="0" applyNumberFormat="1" applyFont="1" applyBorder="1" applyAlignment="1">
      <alignment horizontal="center"/>
    </xf>
    <xf numFmtId="0" fontId="5" fillId="12" borderId="5" xfId="0" applyFont="1" applyFill="1" applyBorder="1"/>
    <xf numFmtId="0" fontId="13" fillId="4" borderId="6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wrapText="1"/>
    </xf>
    <xf numFmtId="0" fontId="19" fillId="15" borderId="13" xfId="0" applyFont="1" applyFill="1" applyBorder="1"/>
    <xf numFmtId="0" fontId="15" fillId="15" borderId="14" xfId="0" applyFont="1" applyFill="1" applyBorder="1"/>
    <xf numFmtId="0" fontId="15" fillId="16" borderId="13" xfId="0" applyFont="1" applyFill="1" applyBorder="1"/>
    <xf numFmtId="0" fontId="19" fillId="16" borderId="15" xfId="0" applyFont="1" applyFill="1" applyBorder="1"/>
    <xf numFmtId="0" fontId="19" fillId="16" borderId="14" xfId="0" applyFont="1" applyFill="1" applyBorder="1"/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15" borderId="19" xfId="0" applyFont="1" applyFill="1" applyBorder="1"/>
    <xf numFmtId="0" fontId="15" fillId="15" borderId="20" xfId="0" applyFont="1" applyFill="1" applyBorder="1" applyAlignment="1"/>
    <xf numFmtId="0" fontId="19" fillId="16" borderId="19" xfId="0" applyFont="1" applyFill="1" applyBorder="1"/>
    <xf numFmtId="0" fontId="15" fillId="16" borderId="5" xfId="0" applyFont="1" applyFill="1" applyBorder="1"/>
    <xf numFmtId="0" fontId="15" fillId="16" borderId="20" xfId="0" applyFont="1" applyFill="1" applyBorder="1"/>
    <xf numFmtId="0" fontId="15" fillId="0" borderId="21" xfId="0" applyFont="1" applyBorder="1" applyAlignment="1">
      <alignment horizontal="center"/>
    </xf>
    <xf numFmtId="0" fontId="15" fillId="0" borderId="22" xfId="0" applyFont="1" applyBorder="1" applyAlignment="1">
      <alignment horizontal="center"/>
    </xf>
    <xf numFmtId="0" fontId="15" fillId="0" borderId="23" xfId="0" applyFont="1" applyBorder="1" applyAlignment="1">
      <alignment horizontal="center"/>
    </xf>
    <xf numFmtId="0" fontId="15" fillId="15" borderId="20" xfId="0" applyFont="1" applyFill="1" applyBorder="1" applyAlignment="1">
      <alignment horizontal="right" vertical="top"/>
    </xf>
    <xf numFmtId="0" fontId="20" fillId="17" borderId="0" xfId="0" applyFont="1" applyFill="1" applyAlignment="1"/>
    <xf numFmtId="0" fontId="21" fillId="18" borderId="24" xfId="0" applyFont="1" applyFill="1" applyBorder="1" applyAlignment="1">
      <alignment horizontal="right"/>
    </xf>
    <xf numFmtId="0" fontId="19" fillId="16" borderId="25" xfId="0" applyFont="1" applyFill="1" applyBorder="1"/>
    <xf numFmtId="0" fontId="15" fillId="16" borderId="26" xfId="0" applyFont="1" applyFill="1" applyBorder="1"/>
    <xf numFmtId="0" fontId="15" fillId="16" borderId="27" xfId="0" applyFont="1" applyFill="1" applyBorder="1"/>
    <xf numFmtId="0" fontId="15" fillId="15" borderId="25" xfId="0" applyFont="1" applyFill="1" applyBorder="1"/>
    <xf numFmtId="0" fontId="15" fillId="15" borderId="27" xfId="0" applyFont="1" applyFill="1" applyBorder="1"/>
    <xf numFmtId="0" fontId="22" fillId="18" borderId="0" xfId="0" applyFont="1" applyFill="1" applyAlignment="1">
      <alignment horizontal="left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top"/>
    </xf>
    <xf numFmtId="0" fontId="19" fillId="0" borderId="0" xfId="0" applyFont="1"/>
    <xf numFmtId="171" fontId="1" fillId="0" borderId="0" xfId="0" applyNumberFormat="1" applyFont="1"/>
    <xf numFmtId="2" fontId="15" fillId="0" borderId="0" xfId="0" applyNumberFormat="1" applyFont="1"/>
    <xf numFmtId="171" fontId="19" fillId="0" borderId="0" xfId="0" applyNumberFormat="1" applyFont="1"/>
    <xf numFmtId="171" fontId="15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2" fontId="1" fillId="0" borderId="0" xfId="0" applyNumberFormat="1" applyFont="1"/>
    <xf numFmtId="2" fontId="23" fillId="0" borderId="0" xfId="0" applyNumberFormat="1" applyFont="1" applyAlignment="1">
      <alignment horizontal="center"/>
    </xf>
    <xf numFmtId="0" fontId="11" fillId="0" borderId="0" xfId="0" applyFont="1"/>
    <xf numFmtId="0" fontId="7" fillId="0" borderId="0" xfId="0" applyFont="1"/>
    <xf numFmtId="164" fontId="1" fillId="0" borderId="0" xfId="0" applyNumberFormat="1" applyFont="1"/>
    <xf numFmtId="0" fontId="1" fillId="0" borderId="0" xfId="0" applyFont="1" applyAlignment="1">
      <alignment wrapText="1"/>
    </xf>
    <xf numFmtId="0" fontId="24" fillId="0" borderId="0" xfId="0" applyFont="1" applyAlignment="1">
      <alignment vertical="center"/>
    </xf>
    <xf numFmtId="0" fontId="1" fillId="0" borderId="0" xfId="0" applyFont="1" applyAlignment="1">
      <alignment wrapText="1"/>
    </xf>
    <xf numFmtId="0" fontId="10" fillId="4" borderId="7" xfId="0" applyFont="1" applyFill="1" applyBorder="1" applyAlignment="1">
      <alignment horizontal="center" vertical="center"/>
    </xf>
    <xf numFmtId="0" fontId="12" fillId="0" borderId="8" xfId="0" applyFont="1" applyBorder="1"/>
    <xf numFmtId="0" fontId="12" fillId="0" borderId="9" xfId="0" applyFont="1" applyBorder="1"/>
  </cellXfs>
  <cellStyles count="1">
    <cellStyle name="Normal" xfId="0" builtinId="0"/>
  </cellStyles>
  <dxfs count="25">
    <dxf>
      <fill>
        <patternFill patternType="solid">
          <fgColor rgb="FFDEEAF6"/>
          <bgColor rgb="FFDEEAF6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</dxfs>
  <tableStyles count="8">
    <tableStyle name="oiFNO-style" pivot="0" count="3">
      <tableStyleElement type="headerRow" dxfId="24"/>
      <tableStyleElement type="firstRowStripe" dxfId="23"/>
      <tableStyleElement type="secondRowStripe" dxfId="22"/>
    </tableStyle>
    <tableStyle name="oiFNO-style 2" pivot="0" count="3">
      <tableStyleElement type="headerRow" dxfId="21"/>
      <tableStyleElement type="firstRowStripe" dxfId="20"/>
      <tableStyleElement type="secondRowStripe" dxfId="19"/>
    </tableStyle>
    <tableStyle name="oiFNO-style 3" pivot="0" count="3">
      <tableStyleElement type="headerRow" dxfId="18"/>
      <tableStyleElement type="firstRowStripe" dxfId="17"/>
      <tableStyleElement type="secondRowStripe" dxfId="16"/>
    </tableStyle>
    <tableStyle name="oiFNO-style 4" pivot="0" count="5">
      <tableStyleElement type="totalRow" dxfId="13"/>
      <tableStyleElement type="firstRowStripe" dxfId="15"/>
      <tableStyleElement type="secondRowStripe" dxfId="14"/>
      <tableStyleElement type="firstColumnStripe" dxfId="12"/>
      <tableStyleElement type="secondColumnStripe" dxfId="11"/>
    </tableStyle>
    <tableStyle name="oiFNO-style 5" pivot="0" count="2">
      <tableStyleElement type="firstRowStripe" dxfId="10"/>
      <tableStyleElement type="secondRowStripe" dxfId="9"/>
    </tableStyle>
    <tableStyle name="topgainers-style" pivot="0" count="3">
      <tableStyleElement type="headerRow" dxfId="8"/>
      <tableStyleElement type="firstRowStripe" dxfId="7"/>
      <tableStyleElement type="secondRowStripe" dxfId="6"/>
    </tableStyle>
    <tableStyle name="toplosers-style" pivot="0" count="3">
      <tableStyleElement type="headerRow" dxfId="5"/>
      <tableStyleElement type="firstRowStripe" dxfId="4"/>
      <tableStyleElement type="secondRowStripe" dxfId="3"/>
    </tableStyle>
    <tableStyle name="ALL FUT-style" pivot="0" count="3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c:style val="2"/>
  <c:chart>
    <c:title>
      <c:tx>
        <c:rich>
          <a:bodyPr/>
          <a:lstStyle/>
          <a:p>
            <a:pPr lvl="0">
              <a:defRPr sz="1600" b="0" i="0">
                <a:solidFill>
                  <a:srgbClr val="757575"/>
                </a:solidFill>
                <a:latin typeface="+mn-lt"/>
              </a:defRPr>
            </a:pPr>
            <a:r>
              <a:rPr sz="1600" b="0" i="0">
                <a:solidFill>
                  <a:srgbClr val="757575"/>
                </a:solidFill>
                <a:latin typeface="+mn-lt"/>
              </a:rPr>
              <a:t>OPEN INTREST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optionchain!$E$6</c:f>
              <c:strCache>
                <c:ptCount val="1"/>
                <c:pt idx="0">
                  <c:v>CALL OI</c:v>
                </c:pt>
              </c:strCache>
            </c:strRef>
          </c:tx>
          <c:invertIfNegative val="1"/>
          <c:cat>
            <c:numRef>
              <c:f>optionchain!$I$7:$I$27</c:f>
              <c:numCache>
                <c:formatCode>General</c:formatCode>
                <c:ptCount val="21"/>
                <c:pt idx="0">
                  <c:v>18000</c:v>
                </c:pt>
                <c:pt idx="1">
                  <c:v>18050</c:v>
                </c:pt>
                <c:pt idx="2">
                  <c:v>18100</c:v>
                </c:pt>
                <c:pt idx="3">
                  <c:v>18150</c:v>
                </c:pt>
                <c:pt idx="4">
                  <c:v>18200</c:v>
                </c:pt>
                <c:pt idx="5">
                  <c:v>18250</c:v>
                </c:pt>
                <c:pt idx="6">
                  <c:v>18300</c:v>
                </c:pt>
                <c:pt idx="7">
                  <c:v>18350</c:v>
                </c:pt>
                <c:pt idx="8">
                  <c:v>18400</c:v>
                </c:pt>
                <c:pt idx="9">
                  <c:v>18450</c:v>
                </c:pt>
                <c:pt idx="10">
                  <c:v>18500</c:v>
                </c:pt>
                <c:pt idx="11">
                  <c:v>18550</c:v>
                </c:pt>
                <c:pt idx="12">
                  <c:v>18600</c:v>
                </c:pt>
                <c:pt idx="13">
                  <c:v>18650</c:v>
                </c:pt>
                <c:pt idx="14">
                  <c:v>18700</c:v>
                </c:pt>
                <c:pt idx="15">
                  <c:v>18750</c:v>
                </c:pt>
                <c:pt idx="16">
                  <c:v>18800</c:v>
                </c:pt>
                <c:pt idx="17">
                  <c:v>18850</c:v>
                </c:pt>
                <c:pt idx="18">
                  <c:v>18900</c:v>
                </c:pt>
                <c:pt idx="19">
                  <c:v>18950</c:v>
                </c:pt>
                <c:pt idx="20">
                  <c:v>19000</c:v>
                </c:pt>
              </c:numCache>
            </c:numRef>
          </c:cat>
          <c:val>
            <c:numRef>
              <c:f>optionchain!$E$7:$E$27</c:f>
              <c:numCache>
                <c:formatCode>General</c:formatCode>
                <c:ptCount val="21"/>
                <c:pt idx="0">
                  <c:v>256900</c:v>
                </c:pt>
                <c:pt idx="1">
                  <c:v>21100</c:v>
                </c:pt>
                <c:pt idx="2">
                  <c:v>100250</c:v>
                </c:pt>
                <c:pt idx="3">
                  <c:v>102300</c:v>
                </c:pt>
                <c:pt idx="4">
                  <c:v>1096950</c:v>
                </c:pt>
                <c:pt idx="5">
                  <c:v>127100</c:v>
                </c:pt>
                <c:pt idx="6">
                  <c:v>3115900</c:v>
                </c:pt>
                <c:pt idx="7">
                  <c:v>369350</c:v>
                </c:pt>
                <c:pt idx="8">
                  <c:v>2796500</c:v>
                </c:pt>
                <c:pt idx="9">
                  <c:v>681850</c:v>
                </c:pt>
                <c:pt idx="10">
                  <c:v>6791600</c:v>
                </c:pt>
                <c:pt idx="11">
                  <c:v>1630050</c:v>
                </c:pt>
                <c:pt idx="12">
                  <c:v>4826400</c:v>
                </c:pt>
                <c:pt idx="13">
                  <c:v>1572500</c:v>
                </c:pt>
                <c:pt idx="14">
                  <c:v>3528300</c:v>
                </c:pt>
                <c:pt idx="15">
                  <c:v>2052700</c:v>
                </c:pt>
                <c:pt idx="16">
                  <c:v>4191650</c:v>
                </c:pt>
                <c:pt idx="17">
                  <c:v>2201950</c:v>
                </c:pt>
                <c:pt idx="18">
                  <c:v>3735250</c:v>
                </c:pt>
                <c:pt idx="19">
                  <c:v>934500</c:v>
                </c:pt>
                <c:pt idx="20">
                  <c:v>7804750</c:v>
                </c:pt>
              </c:numCache>
            </c:numRef>
          </c:val>
        </c:ser>
        <c:ser>
          <c:idx val="1"/>
          <c:order val="1"/>
          <c:tx>
            <c:strRef>
              <c:f>optionchain!$M$6</c:f>
              <c:strCache>
                <c:ptCount val="1"/>
                <c:pt idx="0">
                  <c:v>PUT OI</c:v>
                </c:pt>
              </c:strCache>
            </c:strRef>
          </c:tx>
          <c:invertIfNegative val="1"/>
          <c:cat>
            <c:numRef>
              <c:f>optionchain!$I$7:$I$27</c:f>
              <c:numCache>
                <c:formatCode>General</c:formatCode>
                <c:ptCount val="21"/>
                <c:pt idx="0">
                  <c:v>18000</c:v>
                </c:pt>
                <c:pt idx="1">
                  <c:v>18050</c:v>
                </c:pt>
                <c:pt idx="2">
                  <c:v>18100</c:v>
                </c:pt>
                <c:pt idx="3">
                  <c:v>18150</c:v>
                </c:pt>
                <c:pt idx="4">
                  <c:v>18200</c:v>
                </c:pt>
                <c:pt idx="5">
                  <c:v>18250</c:v>
                </c:pt>
                <c:pt idx="6">
                  <c:v>18300</c:v>
                </c:pt>
                <c:pt idx="7">
                  <c:v>18350</c:v>
                </c:pt>
                <c:pt idx="8">
                  <c:v>18400</c:v>
                </c:pt>
                <c:pt idx="9">
                  <c:v>18450</c:v>
                </c:pt>
                <c:pt idx="10">
                  <c:v>18500</c:v>
                </c:pt>
                <c:pt idx="11">
                  <c:v>18550</c:v>
                </c:pt>
                <c:pt idx="12">
                  <c:v>18600</c:v>
                </c:pt>
                <c:pt idx="13">
                  <c:v>18650</c:v>
                </c:pt>
                <c:pt idx="14">
                  <c:v>18700</c:v>
                </c:pt>
                <c:pt idx="15">
                  <c:v>18750</c:v>
                </c:pt>
                <c:pt idx="16">
                  <c:v>18800</c:v>
                </c:pt>
                <c:pt idx="17">
                  <c:v>18850</c:v>
                </c:pt>
                <c:pt idx="18">
                  <c:v>18900</c:v>
                </c:pt>
                <c:pt idx="19">
                  <c:v>18950</c:v>
                </c:pt>
                <c:pt idx="20">
                  <c:v>19000</c:v>
                </c:pt>
              </c:numCache>
            </c:numRef>
          </c:cat>
          <c:val>
            <c:numRef>
              <c:f>optionchain!$M$7:$M$27</c:f>
              <c:numCache>
                <c:formatCode>General</c:formatCode>
                <c:ptCount val="21"/>
                <c:pt idx="0">
                  <c:v>3093950</c:v>
                </c:pt>
                <c:pt idx="1">
                  <c:v>1314100</c:v>
                </c:pt>
                <c:pt idx="2">
                  <c:v>2897900</c:v>
                </c:pt>
                <c:pt idx="3">
                  <c:v>1531150</c:v>
                </c:pt>
                <c:pt idx="4">
                  <c:v>4475350</c:v>
                </c:pt>
                <c:pt idx="5">
                  <c:v>1736950</c:v>
                </c:pt>
                <c:pt idx="6">
                  <c:v>7209900</c:v>
                </c:pt>
                <c:pt idx="7">
                  <c:v>2150400</c:v>
                </c:pt>
                <c:pt idx="8">
                  <c:v>6093600</c:v>
                </c:pt>
                <c:pt idx="9">
                  <c:v>1745050</c:v>
                </c:pt>
                <c:pt idx="10">
                  <c:v>6205200</c:v>
                </c:pt>
                <c:pt idx="11">
                  <c:v>740550</c:v>
                </c:pt>
                <c:pt idx="12">
                  <c:v>1424250</c:v>
                </c:pt>
                <c:pt idx="13">
                  <c:v>301600</c:v>
                </c:pt>
                <c:pt idx="14">
                  <c:v>438800</c:v>
                </c:pt>
                <c:pt idx="15">
                  <c:v>49900</c:v>
                </c:pt>
                <c:pt idx="16">
                  <c:v>85800</c:v>
                </c:pt>
                <c:pt idx="17">
                  <c:v>15600</c:v>
                </c:pt>
                <c:pt idx="18">
                  <c:v>26450</c:v>
                </c:pt>
                <c:pt idx="19">
                  <c:v>5150</c:v>
                </c:pt>
                <c:pt idx="20">
                  <c:v>224650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95880"/>
        <c:axId val="137899800"/>
      </c:barChart>
      <c:catAx>
        <c:axId val="137895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14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37899800"/>
        <c:crosses val="autoZero"/>
        <c:auto val="1"/>
        <c:lblAlgn val="ctr"/>
        <c:lblOffset val="100"/>
        <c:noMultiLvlLbl val="1"/>
      </c:catAx>
      <c:valAx>
        <c:axId val="137899800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37895880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sz="1600" b="1" i="0">
                <a:solidFill>
                  <a:schemeClr val="lt1"/>
                </a:solidFill>
                <a:latin typeface="+mn-lt"/>
              </a:rPr>
              <a:t>CHANGE IN OI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optionchain!$F$6</c:f>
              <c:strCache>
                <c:ptCount val="1"/>
                <c:pt idx="0">
                  <c:v>CALL COI</c:v>
                </c:pt>
              </c:strCache>
            </c:strRef>
          </c:tx>
          <c:invertIfNegative val="1"/>
          <c:cat>
            <c:numRef>
              <c:f>optionchain!$I$7:$I$27</c:f>
              <c:numCache>
                <c:formatCode>General</c:formatCode>
                <c:ptCount val="21"/>
                <c:pt idx="0">
                  <c:v>18000</c:v>
                </c:pt>
                <c:pt idx="1">
                  <c:v>18050</c:v>
                </c:pt>
                <c:pt idx="2">
                  <c:v>18100</c:v>
                </c:pt>
                <c:pt idx="3">
                  <c:v>18150</c:v>
                </c:pt>
                <c:pt idx="4">
                  <c:v>18200</c:v>
                </c:pt>
                <c:pt idx="5">
                  <c:v>18250</c:v>
                </c:pt>
                <c:pt idx="6">
                  <c:v>18300</c:v>
                </c:pt>
                <c:pt idx="7">
                  <c:v>18350</c:v>
                </c:pt>
                <c:pt idx="8">
                  <c:v>18400</c:v>
                </c:pt>
                <c:pt idx="9">
                  <c:v>18450</c:v>
                </c:pt>
                <c:pt idx="10">
                  <c:v>18500</c:v>
                </c:pt>
                <c:pt idx="11">
                  <c:v>18550</c:v>
                </c:pt>
                <c:pt idx="12">
                  <c:v>18600</c:v>
                </c:pt>
                <c:pt idx="13">
                  <c:v>18650</c:v>
                </c:pt>
                <c:pt idx="14">
                  <c:v>18700</c:v>
                </c:pt>
                <c:pt idx="15">
                  <c:v>18750</c:v>
                </c:pt>
                <c:pt idx="16">
                  <c:v>18800</c:v>
                </c:pt>
                <c:pt idx="17">
                  <c:v>18850</c:v>
                </c:pt>
                <c:pt idx="18">
                  <c:v>18900</c:v>
                </c:pt>
                <c:pt idx="19">
                  <c:v>18950</c:v>
                </c:pt>
                <c:pt idx="20">
                  <c:v>19000</c:v>
                </c:pt>
              </c:numCache>
            </c:numRef>
          </c:cat>
          <c:val>
            <c:numRef>
              <c:f>optionchain!$F$7:$F$27</c:f>
              <c:numCache>
                <c:formatCode>General</c:formatCode>
                <c:ptCount val="21"/>
                <c:pt idx="0">
                  <c:v>2050</c:v>
                </c:pt>
                <c:pt idx="1">
                  <c:v>-2150</c:v>
                </c:pt>
                <c:pt idx="2">
                  <c:v>-14050</c:v>
                </c:pt>
                <c:pt idx="3">
                  <c:v>-6900</c:v>
                </c:pt>
                <c:pt idx="4">
                  <c:v>212250</c:v>
                </c:pt>
                <c:pt idx="5">
                  <c:v>-15600</c:v>
                </c:pt>
                <c:pt idx="6">
                  <c:v>-853150</c:v>
                </c:pt>
                <c:pt idx="7">
                  <c:v>-67200</c:v>
                </c:pt>
                <c:pt idx="8">
                  <c:v>-440500</c:v>
                </c:pt>
                <c:pt idx="9">
                  <c:v>144800</c:v>
                </c:pt>
                <c:pt idx="10">
                  <c:v>2957400</c:v>
                </c:pt>
                <c:pt idx="11">
                  <c:v>656050</c:v>
                </c:pt>
                <c:pt idx="12">
                  <c:v>2181400</c:v>
                </c:pt>
                <c:pt idx="13">
                  <c:v>627000</c:v>
                </c:pt>
                <c:pt idx="14">
                  <c:v>1419250</c:v>
                </c:pt>
                <c:pt idx="15">
                  <c:v>891350</c:v>
                </c:pt>
                <c:pt idx="16">
                  <c:v>2178800</c:v>
                </c:pt>
                <c:pt idx="17">
                  <c:v>1053800</c:v>
                </c:pt>
                <c:pt idx="18">
                  <c:v>2068150</c:v>
                </c:pt>
                <c:pt idx="19">
                  <c:v>602800</c:v>
                </c:pt>
                <c:pt idx="20">
                  <c:v>4202900</c:v>
                </c:pt>
              </c:numCache>
            </c:numRef>
          </c:val>
        </c:ser>
        <c:ser>
          <c:idx val="1"/>
          <c:order val="1"/>
          <c:tx>
            <c:strRef>
              <c:f>optionchain!$L$6</c:f>
              <c:strCache>
                <c:ptCount val="1"/>
                <c:pt idx="0">
                  <c:v>PUT COI</c:v>
                </c:pt>
              </c:strCache>
            </c:strRef>
          </c:tx>
          <c:invertIfNegative val="1"/>
          <c:cat>
            <c:numRef>
              <c:f>optionchain!$I$7:$I$27</c:f>
              <c:numCache>
                <c:formatCode>General</c:formatCode>
                <c:ptCount val="21"/>
                <c:pt idx="0">
                  <c:v>18000</c:v>
                </c:pt>
                <c:pt idx="1">
                  <c:v>18050</c:v>
                </c:pt>
                <c:pt idx="2">
                  <c:v>18100</c:v>
                </c:pt>
                <c:pt idx="3">
                  <c:v>18150</c:v>
                </c:pt>
                <c:pt idx="4">
                  <c:v>18200</c:v>
                </c:pt>
                <c:pt idx="5">
                  <c:v>18250</c:v>
                </c:pt>
                <c:pt idx="6">
                  <c:v>18300</c:v>
                </c:pt>
                <c:pt idx="7">
                  <c:v>18350</c:v>
                </c:pt>
                <c:pt idx="8">
                  <c:v>18400</c:v>
                </c:pt>
                <c:pt idx="9">
                  <c:v>18450</c:v>
                </c:pt>
                <c:pt idx="10">
                  <c:v>18500</c:v>
                </c:pt>
                <c:pt idx="11">
                  <c:v>18550</c:v>
                </c:pt>
                <c:pt idx="12">
                  <c:v>18600</c:v>
                </c:pt>
                <c:pt idx="13">
                  <c:v>18650</c:v>
                </c:pt>
                <c:pt idx="14">
                  <c:v>18700</c:v>
                </c:pt>
                <c:pt idx="15">
                  <c:v>18750</c:v>
                </c:pt>
                <c:pt idx="16">
                  <c:v>18800</c:v>
                </c:pt>
                <c:pt idx="17">
                  <c:v>18850</c:v>
                </c:pt>
                <c:pt idx="18">
                  <c:v>18900</c:v>
                </c:pt>
                <c:pt idx="19">
                  <c:v>18950</c:v>
                </c:pt>
                <c:pt idx="20">
                  <c:v>19000</c:v>
                </c:pt>
              </c:numCache>
            </c:numRef>
          </c:cat>
          <c:val>
            <c:numRef>
              <c:f>optionchain!$L$7:$L$27</c:f>
              <c:numCache>
                <c:formatCode>General</c:formatCode>
                <c:ptCount val="21"/>
                <c:pt idx="0">
                  <c:v>351650</c:v>
                </c:pt>
                <c:pt idx="1">
                  <c:v>796100</c:v>
                </c:pt>
                <c:pt idx="2">
                  <c:v>921850</c:v>
                </c:pt>
                <c:pt idx="3">
                  <c:v>812350</c:v>
                </c:pt>
                <c:pt idx="4">
                  <c:v>1326150</c:v>
                </c:pt>
                <c:pt idx="5">
                  <c:v>593550</c:v>
                </c:pt>
                <c:pt idx="6">
                  <c:v>247150</c:v>
                </c:pt>
                <c:pt idx="7">
                  <c:v>167900</c:v>
                </c:pt>
                <c:pt idx="8">
                  <c:v>1681750</c:v>
                </c:pt>
                <c:pt idx="9">
                  <c:v>926900</c:v>
                </c:pt>
                <c:pt idx="10">
                  <c:v>2619800</c:v>
                </c:pt>
                <c:pt idx="11">
                  <c:v>121850</c:v>
                </c:pt>
                <c:pt idx="12">
                  <c:v>839750</c:v>
                </c:pt>
                <c:pt idx="13">
                  <c:v>166950</c:v>
                </c:pt>
                <c:pt idx="14">
                  <c:v>242550</c:v>
                </c:pt>
                <c:pt idx="15">
                  <c:v>-10850</c:v>
                </c:pt>
                <c:pt idx="16">
                  <c:v>39550</c:v>
                </c:pt>
                <c:pt idx="17">
                  <c:v>12050</c:v>
                </c:pt>
                <c:pt idx="18">
                  <c:v>10050</c:v>
                </c:pt>
                <c:pt idx="19">
                  <c:v>5000</c:v>
                </c:pt>
                <c:pt idx="20">
                  <c:v>133300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901368"/>
        <c:axId val="137896272"/>
      </c:barChart>
      <c:catAx>
        <c:axId val="137901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1400" b="0" i="0">
                <a:solidFill>
                  <a:schemeClr val="lt1"/>
                </a:solidFill>
                <a:latin typeface="+mn-lt"/>
              </a:defRPr>
            </a:pPr>
            <a:endParaRPr lang="en-US"/>
          </a:p>
        </c:txPr>
        <c:crossAx val="137896272"/>
        <c:crosses val="autoZero"/>
        <c:auto val="1"/>
        <c:lblAlgn val="ctr"/>
        <c:lblOffset val="100"/>
        <c:noMultiLvlLbl val="1"/>
      </c:catAx>
      <c:valAx>
        <c:axId val="137896272"/>
        <c:scaling>
          <c:orientation val="minMax"/>
        </c:scaling>
        <c:delete val="0"/>
        <c:axPos val="l"/>
        <c:numFmt formatCode="General" sourceLinked="1"/>
        <c:majorTickMark val="cross"/>
        <c:minorTickMark val="cross"/>
        <c:tickLblPos val="nextTo"/>
        <c:spPr>
          <a:ln>
            <a:noFill/>
          </a:ln>
        </c:spPr>
        <c:crossAx val="137901368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sz="1600" b="1" i="0">
                <a:solidFill>
                  <a:schemeClr val="lt1"/>
                </a:solidFill>
                <a:latin typeface="+mn-lt"/>
              </a:rPr>
              <a:t>IV
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512359561704307"/>
          <c:y val="0.20694808428480915"/>
          <c:w val="0.83077207504776018"/>
          <c:h val="0.6453221269862025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98624"/>
        <c:axId val="245831864"/>
      </c:lineChart>
      <c:catAx>
        <c:axId val="137898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1400" b="0" i="0">
                <a:solidFill>
                  <a:schemeClr val="lt1"/>
                </a:solidFill>
                <a:latin typeface="+mn-lt"/>
              </a:defRPr>
            </a:pPr>
            <a:endParaRPr lang="en-US"/>
          </a:p>
        </c:txPr>
        <c:crossAx val="245831864"/>
        <c:crosses val="autoZero"/>
        <c:auto val="1"/>
        <c:lblAlgn val="ctr"/>
        <c:lblOffset val="100"/>
        <c:noMultiLvlLbl val="1"/>
      </c:catAx>
      <c:valAx>
        <c:axId val="245831864"/>
        <c:scaling>
          <c:orientation val="minMax"/>
        </c:scaling>
        <c:delete val="0"/>
        <c:axPos val="l"/>
        <c:majorTickMark val="cross"/>
        <c:minorTickMark val="cross"/>
        <c:tickLblPos val="nextTo"/>
        <c:spPr>
          <a:ln>
            <a:noFill/>
          </a:ln>
        </c:spPr>
        <c:crossAx val="137898624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chemeClr val="lt1"/>
                </a:solidFill>
                <a:latin typeface="+mn-lt"/>
              </a:defRPr>
            </a:pPr>
            <a:r>
              <a:rPr sz="1400" b="0" i="0">
                <a:solidFill>
                  <a:schemeClr val="lt1"/>
                </a:solidFill>
                <a:latin typeface="+mn-lt"/>
              </a:rPr>
              <a:t>CALL PUT OI
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5826480197438006"/>
          <c:y val="0.13149949574456835"/>
          <c:w val="0.81546654130920204"/>
          <c:h val="0.69321520016360427"/>
        </c:manualLayout>
      </c:layout>
      <c:lineChart>
        <c:grouping val="standard"/>
        <c:varyColors val="1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832648"/>
        <c:axId val="245825984"/>
      </c:lineChart>
      <c:catAx>
        <c:axId val="245832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5400000"/>
          <a:lstStyle/>
          <a:p>
            <a:pPr lvl="0">
              <a:defRPr sz="1000" b="0" i="0">
                <a:solidFill>
                  <a:schemeClr val="lt1"/>
                </a:solidFill>
                <a:latin typeface="+mn-lt"/>
              </a:defRPr>
            </a:pPr>
            <a:endParaRPr lang="en-US"/>
          </a:p>
        </c:txPr>
        <c:crossAx val="245825984"/>
        <c:crosses val="autoZero"/>
        <c:auto val="1"/>
        <c:lblAlgn val="ctr"/>
        <c:lblOffset val="100"/>
        <c:noMultiLvlLbl val="1"/>
      </c:catAx>
      <c:valAx>
        <c:axId val="245825984"/>
        <c:scaling>
          <c:orientation val="minMax"/>
        </c:scaling>
        <c:delete val="0"/>
        <c:axPos val="l"/>
        <c:majorTickMark val="cross"/>
        <c:minorTickMark val="cross"/>
        <c:tickLblPos val="nextTo"/>
        <c:spPr>
          <a:ln>
            <a:noFill/>
          </a:ln>
        </c:spPr>
        <c:crossAx val="2458326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5716423041839801"/>
          <c:y val="0.9397790382829021"/>
        </c:manualLayout>
      </c:layout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1"/>
  <c:style val="2"/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72264"/>
        <c:axId val="491967952"/>
      </c:lineChart>
      <c:catAx>
        <c:axId val="491972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5400000"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en-US"/>
          </a:p>
        </c:txPr>
        <c:crossAx val="491967952"/>
        <c:crosses val="autoZero"/>
        <c:auto val="1"/>
        <c:lblAlgn val="ctr"/>
        <c:lblOffset val="100"/>
        <c:noMultiLvlLbl val="1"/>
      </c:catAx>
      <c:valAx>
        <c:axId val="491967952"/>
        <c:scaling>
          <c:orientation val="minMax"/>
        </c:scaling>
        <c:delete val="0"/>
        <c:axPos val="l"/>
        <c:majorTickMark val="cross"/>
        <c:minorTickMark val="cross"/>
        <c:tickLblPos val="nextTo"/>
        <c:spPr>
          <a:ln>
            <a:noFill/>
          </a:ln>
        </c:spPr>
        <c:crossAx val="491972264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1"/>
  <c:style val="2"/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70304"/>
        <c:axId val="491973048"/>
      </c:lineChart>
      <c:catAx>
        <c:axId val="491970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5400000"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en-US"/>
          </a:p>
        </c:txPr>
        <c:crossAx val="491973048"/>
        <c:crosses val="autoZero"/>
        <c:auto val="1"/>
        <c:lblAlgn val="ctr"/>
        <c:lblOffset val="100"/>
        <c:noMultiLvlLbl val="1"/>
      </c:catAx>
      <c:valAx>
        <c:axId val="491973048"/>
        <c:scaling>
          <c:orientation val="minMax"/>
        </c:scaling>
        <c:delete val="0"/>
        <c:axPos val="l"/>
        <c:majorTickMark val="cross"/>
        <c:minorTickMark val="cross"/>
        <c:tickLblPos val="nextTo"/>
        <c:spPr>
          <a:ln>
            <a:noFill/>
          </a:ln>
        </c:spPr>
        <c:crossAx val="491970304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1"/>
  <c:style val="2"/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66776"/>
        <c:axId val="491966384"/>
      </c:lineChart>
      <c:catAx>
        <c:axId val="491966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5400000"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en-US"/>
          </a:p>
        </c:txPr>
        <c:crossAx val="491966384"/>
        <c:crosses val="autoZero"/>
        <c:auto val="1"/>
        <c:lblAlgn val="ctr"/>
        <c:lblOffset val="100"/>
        <c:noMultiLvlLbl val="1"/>
      </c:catAx>
      <c:valAx>
        <c:axId val="491966384"/>
        <c:scaling>
          <c:orientation val="minMax"/>
        </c:scaling>
        <c:delete val="0"/>
        <c:axPos val="l"/>
        <c:majorTickMark val="cross"/>
        <c:minorTickMark val="cross"/>
        <c:tickLblPos val="nextTo"/>
        <c:spPr>
          <a:ln>
            <a:noFill/>
          </a:ln>
        </c:spPr>
        <c:crossAx val="491966776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1"/>
  <c:style val="2"/>
  <c:chart>
    <c:autoTitleDeleted val="1"/>
    <c:plotArea>
      <c:layout>
        <c:manualLayout>
          <c:xMode val="edge"/>
          <c:yMode val="edge"/>
          <c:x val="9.2303890883932399E-2"/>
          <c:y val="0.19486111111111112"/>
          <c:w val="0.87676078147135372"/>
          <c:h val="0.72088764946048411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68736"/>
        <c:axId val="491969128"/>
      </c:lineChart>
      <c:catAx>
        <c:axId val="491968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h:mm;@" sourceLinked="0"/>
        <c:majorTickMark val="none"/>
        <c:minorTickMark val="none"/>
        <c:tickLblPos val="nextTo"/>
        <c:txPr>
          <a:bodyPr rot="5400000"/>
          <a:lstStyle/>
          <a:p>
            <a:pPr lvl="0">
              <a:defRPr sz="700" b="0" i="0">
                <a:solidFill>
                  <a:schemeClr val="lt1"/>
                </a:solidFill>
                <a:latin typeface="+mn-lt"/>
              </a:defRPr>
            </a:pPr>
            <a:endParaRPr lang="en-US"/>
          </a:p>
        </c:txPr>
        <c:crossAx val="491969128"/>
        <c:crosses val="autoZero"/>
        <c:auto val="1"/>
        <c:lblAlgn val="ctr"/>
        <c:lblOffset val="100"/>
        <c:noMultiLvlLbl val="1"/>
      </c:catAx>
      <c:valAx>
        <c:axId val="491969128"/>
        <c:scaling>
          <c:orientation val="minMax"/>
        </c:scaling>
        <c:delete val="0"/>
        <c:axPos val="l"/>
        <c:majorTickMark val="cross"/>
        <c:minorTickMark val="cross"/>
        <c:tickLblPos val="nextTo"/>
        <c:spPr>
          <a:ln>
            <a:noFill/>
          </a:ln>
        </c:spPr>
        <c:crossAx val="491968736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209550</xdr:colOff>
      <xdr:row>0</xdr:row>
      <xdr:rowOff>28575</xdr:rowOff>
    </xdr:from>
    <xdr:ext cx="9667875" cy="2867025"/>
    <xdr:graphicFrame macro="">
      <xdr:nvGraphicFramePr>
        <xdr:cNvPr id="157430759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161925</xdr:colOff>
      <xdr:row>15</xdr:row>
      <xdr:rowOff>9525</xdr:rowOff>
    </xdr:from>
    <xdr:ext cx="9134475" cy="3276600"/>
    <xdr:graphicFrame macro="">
      <xdr:nvGraphicFramePr>
        <xdr:cNvPr id="1765991754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18</xdr:col>
      <xdr:colOff>0</xdr:colOff>
      <xdr:row>1</xdr:row>
      <xdr:rowOff>142875</xdr:rowOff>
    </xdr:from>
    <xdr:ext cx="5362575" cy="4257675"/>
    <xdr:graphicFrame macro="">
      <xdr:nvGraphicFramePr>
        <xdr:cNvPr id="1557256417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19050</xdr:rowOff>
    </xdr:from>
    <xdr:ext cx="5153025" cy="3267075"/>
    <xdr:graphicFrame macro="">
      <xdr:nvGraphicFramePr>
        <xdr:cNvPr id="190442936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485775</xdr:colOff>
      <xdr:row>0</xdr:row>
      <xdr:rowOff>38100</xdr:rowOff>
    </xdr:from>
    <xdr:ext cx="4895850" cy="3257550"/>
    <xdr:graphicFrame macro="">
      <xdr:nvGraphicFramePr>
        <xdr:cNvPr id="1789391267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15</xdr:col>
      <xdr:colOff>485775</xdr:colOff>
      <xdr:row>16</xdr:row>
      <xdr:rowOff>142875</xdr:rowOff>
    </xdr:from>
    <xdr:ext cx="4895850" cy="3571875"/>
    <xdr:graphicFrame macro="">
      <xdr:nvGraphicFramePr>
        <xdr:cNvPr id="1392012986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24</xdr:col>
      <xdr:colOff>200025</xdr:colOff>
      <xdr:row>0</xdr:row>
      <xdr:rowOff>19050</xdr:rowOff>
    </xdr:from>
    <xdr:ext cx="4895850" cy="3629025"/>
    <xdr:graphicFrame macro="">
      <xdr:nvGraphicFramePr>
        <xdr:cNvPr id="1361966485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7</xdr:col>
      <xdr:colOff>9525</xdr:colOff>
      <xdr:row>16</xdr:row>
      <xdr:rowOff>152400</xdr:rowOff>
    </xdr:from>
    <xdr:ext cx="5143500" cy="3552825"/>
    <xdr:graphicFrame macro="">
      <xdr:nvGraphicFramePr>
        <xdr:cNvPr id="138699436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id="1" name="Table_1" displayName="Table_1" ref="W1:Z6">
  <tableColumns count="4">
    <tableColumn id="1" name="Calls.1"/>
    <tableColumn id="2" name="Calls.2"/>
    <tableColumn id="3" name="Price"/>
    <tableColumn id="4" name="Volumes"/>
  </tableColumns>
  <tableStyleInfo name="oiFNO-style" showFirstColumn="1" showLastColumn="1" showRowStripes="1" showColumnStripes="0"/>
</table>
</file>

<file path=xl/tables/table2.xml><?xml version="1.0" encoding="utf-8"?>
<table xmlns="http://schemas.openxmlformats.org/spreadsheetml/2006/main" id="2" name="Table_2" displayName="Table_2" ref="B2:B5">
  <tableColumns count="1">
    <tableColumn id="1" name="Expiry _x000a_Date"/>
  </tableColumns>
  <tableStyleInfo name="oiFNO-style 2" showFirstColumn="1" showLastColumn="1" showRowStripes="1" showColumnStripes="0"/>
</table>
</file>

<file path=xl/tables/table3.xml><?xml version="1.0" encoding="utf-8"?>
<table xmlns="http://schemas.openxmlformats.org/spreadsheetml/2006/main" id="3" name="Table_3" displayName="Table_3" ref="D2:D19">
  <tableColumns count="1">
    <tableColumn id="1" name="Expiry _x000a_Date"/>
  </tableColumns>
  <tableStyleInfo name="oiFNO-style 3" showFirstColumn="1" showLastColumn="1" showRowStripes="1" showColumnStripes="0"/>
</table>
</file>

<file path=xl/tables/table4.xml><?xml version="1.0" encoding="utf-8"?>
<table xmlns="http://schemas.openxmlformats.org/spreadsheetml/2006/main" id="4" name="Table_4" displayName="Table_4" ref="J9:T116" headerRowCount="0">
  <tableColumns count="11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  <tableColumn id="9" name="Column9"/>
    <tableColumn id="10" name="Column10"/>
    <tableColumn id="11" name="Column11"/>
  </tableColumns>
  <tableStyleInfo name="oiFNO-style 4" showFirstColumn="1" showLastColumn="1" showRowStripes="1" showColumnStripes="1"/>
</table>
</file>

<file path=xl/tables/table5.xml><?xml version="1.0" encoding="utf-8"?>
<table xmlns="http://schemas.openxmlformats.org/spreadsheetml/2006/main" id="5" name="Table_5" displayName="Table_5" ref="W14:X22" headerRowCount="0">
  <tableColumns count="2">
    <tableColumn id="1" name="Column1"/>
    <tableColumn id="2" name="Column2"/>
  </tableColumns>
  <tableStyleInfo name="oiFNO-style 5" showFirstColumn="1" showLastColumn="1" showRowStripes="1" showColumnStripes="0"/>
</table>
</file>

<file path=xl/tables/table6.xml><?xml version="1.0" encoding="utf-8"?>
<table xmlns="http://schemas.openxmlformats.org/spreadsheetml/2006/main" id="6" name="Table_6" displayName="Table_6" ref="A1:K6">
  <tableColumns count="11">
    <tableColumn id="1" name="Symbol"/>
    <tableColumn id="2" name="Expiry _x000a_Date"/>
    <tableColumn id="3" name="Last _x000a_Price"/>
    <tableColumn id="4" name="Change"/>
    <tableColumn id="5" name="Chge _x000a_%"/>
    <tableColumn id="6" name="High _x000a_Low"/>
    <tableColumn id="7" name="Average _x000a_Price"/>
    <tableColumn id="8" name="Vol - Shares _x000a_Contracts"/>
    <tableColumn id="9" name="Value _x000a_(Rs. Lakh)"/>
    <tableColumn id="10" name="Open _x000a_Interest"/>
    <tableColumn id="11" name="Open Int Chg"/>
  </tableColumns>
  <tableStyleInfo name="topgainers-style" showFirstColumn="1" showLastColumn="1" showRowStripes="1" showColumnStripes="0"/>
</table>
</file>

<file path=xl/tables/table7.xml><?xml version="1.0" encoding="utf-8"?>
<table xmlns="http://schemas.openxmlformats.org/spreadsheetml/2006/main" id="7" name="Table_7" displayName="Table_7" ref="A1:K6">
  <tableColumns count="11">
    <tableColumn id="1" name="Symbol"/>
    <tableColumn id="2" name="Expiry _x000a_Date"/>
    <tableColumn id="3" name="Last _x000a_Price"/>
    <tableColumn id="4" name="Change"/>
    <tableColumn id="5" name="Chge _x000a_%"/>
    <tableColumn id="6" name="High _x000a_Low"/>
    <tableColumn id="7" name="Average _x000a_Price"/>
    <tableColumn id="8" name="Vol - Shares _x000a_Contracts"/>
    <tableColumn id="9" name="Value _x000a_(Rs. Lakh)"/>
    <tableColumn id="10" name="Open _x000a_Interest"/>
    <tableColumn id="11" name="Open Int Chg"/>
  </tableColumns>
  <tableStyleInfo name="toplosers-style" showFirstColumn="1" showLastColumn="1" showRowStripes="1" showColumnStripes="0"/>
</table>
</file>

<file path=xl/tables/table8.xml><?xml version="1.0" encoding="utf-8"?>
<table xmlns="http://schemas.openxmlformats.org/spreadsheetml/2006/main" id="8" name="Table_8" displayName="Table_8" ref="C1:M7">
  <tableColumns count="11">
    <tableColumn id="1" name="Symbol"/>
    <tableColumn id="2" name="Expiry _x000a_Date"/>
    <tableColumn id="3" name="Last _x000a_Price"/>
    <tableColumn id="4" name="Change"/>
    <tableColumn id="5" name="Chge _x000a_%"/>
    <tableColumn id="6" name="High _x000a_Low"/>
    <tableColumn id="7" name="Average _x000a_Price"/>
    <tableColumn id="8" name="Vol - Shares _x000a_Contracts"/>
    <tableColumn id="9" name="Value _x000a_(Rs. Lakh)"/>
    <tableColumn id="10" name="Open _x000a_Interest"/>
    <tableColumn id="11" name="Open Int Chg"/>
  </tableColumns>
  <tableStyleInfo name="ALL FUT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investexcel.net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000"/>
  <sheetViews>
    <sheetView workbookViewId="0"/>
  </sheetViews>
  <sheetFormatPr defaultColWidth="14.44140625" defaultRowHeight="15" customHeight="1"/>
  <cols>
    <col min="1" max="1" width="39.44140625" customWidth="1"/>
    <col min="2" max="26" width="8.6640625" customWidth="1"/>
  </cols>
  <sheetData>
    <row r="1" spans="1:1" ht="14.4">
      <c r="A1" s="1" t="s">
        <v>0</v>
      </c>
    </row>
    <row r="2" spans="1:1" ht="14.4">
      <c r="A2" s="2" t="s">
        <v>1</v>
      </c>
    </row>
    <row r="3" spans="1:1" ht="14.4">
      <c r="A3" s="2" t="s">
        <v>2</v>
      </c>
    </row>
    <row r="4" spans="1:1" ht="14.4">
      <c r="A4" s="2" t="s">
        <v>3</v>
      </c>
    </row>
    <row r="5" spans="1:1" ht="14.4">
      <c r="A5" s="2" t="s">
        <v>4</v>
      </c>
    </row>
    <row r="6" spans="1:1" ht="14.4">
      <c r="A6" s="2" t="s">
        <v>5</v>
      </c>
    </row>
    <row r="7" spans="1:1" ht="14.4">
      <c r="A7" s="2" t="s">
        <v>6</v>
      </c>
    </row>
    <row r="8" spans="1:1" ht="14.4">
      <c r="A8" s="2" t="s">
        <v>7</v>
      </c>
    </row>
    <row r="9" spans="1:1" ht="14.4">
      <c r="A9" s="2" t="s">
        <v>8</v>
      </c>
    </row>
    <row r="10" spans="1:1" ht="14.4">
      <c r="A10" s="2" t="s">
        <v>9</v>
      </c>
    </row>
    <row r="11" spans="1:1" ht="14.4">
      <c r="A11" s="2" t="s">
        <v>10</v>
      </c>
    </row>
    <row r="12" spans="1:1" ht="14.4">
      <c r="A12" s="2" t="s">
        <v>11</v>
      </c>
    </row>
    <row r="13" spans="1:1" ht="14.4">
      <c r="A13" s="2" t="s">
        <v>12</v>
      </c>
    </row>
    <row r="14" spans="1:1" ht="14.4">
      <c r="A14" s="2" t="s">
        <v>13</v>
      </c>
    </row>
    <row r="15" spans="1:1" ht="14.4">
      <c r="A15" s="2" t="s">
        <v>14</v>
      </c>
    </row>
    <row r="16" spans="1:1" ht="14.4">
      <c r="A16" s="2" t="s">
        <v>15</v>
      </c>
    </row>
    <row r="17" spans="1:1" ht="14.4">
      <c r="A17" s="2" t="s">
        <v>16</v>
      </c>
    </row>
    <row r="18" spans="1:1" ht="14.4">
      <c r="A18" s="2" t="s">
        <v>17</v>
      </c>
    </row>
    <row r="19" spans="1:1" ht="14.4">
      <c r="A19" s="2" t="s">
        <v>18</v>
      </c>
    </row>
    <row r="20" spans="1:1" ht="14.4">
      <c r="A20" s="2" t="s">
        <v>19</v>
      </c>
    </row>
    <row r="21" spans="1:1" ht="15.75" customHeight="1">
      <c r="A21" s="2" t="s">
        <v>20</v>
      </c>
    </row>
    <row r="22" spans="1:1" ht="15.75" customHeight="1">
      <c r="A22" s="2" t="s">
        <v>21</v>
      </c>
    </row>
    <row r="23" spans="1:1" ht="15.75" customHeight="1">
      <c r="A23" s="2" t="s">
        <v>22</v>
      </c>
    </row>
    <row r="24" spans="1:1" ht="15.75" customHeight="1">
      <c r="A24" s="2" t="s">
        <v>23</v>
      </c>
    </row>
    <row r="25" spans="1:1" ht="15.75" customHeight="1">
      <c r="A25" s="2" t="s">
        <v>24</v>
      </c>
    </row>
    <row r="26" spans="1:1" ht="15.75" customHeight="1">
      <c r="A26" s="2" t="s">
        <v>25</v>
      </c>
    </row>
    <row r="27" spans="1:1" ht="15.75" customHeight="1">
      <c r="A27" s="2" t="s">
        <v>26</v>
      </c>
    </row>
    <row r="28" spans="1:1" ht="15.75" customHeight="1">
      <c r="A28" s="2" t="s">
        <v>27</v>
      </c>
    </row>
    <row r="29" spans="1:1" ht="15.75" customHeight="1">
      <c r="A29" s="2" t="s">
        <v>28</v>
      </c>
    </row>
    <row r="30" spans="1:1" ht="15.75" customHeight="1">
      <c r="A30" s="2" t="s">
        <v>29</v>
      </c>
    </row>
    <row r="31" spans="1:1" ht="15.75" customHeight="1">
      <c r="A31" s="2" t="s">
        <v>30</v>
      </c>
    </row>
    <row r="32" spans="1:1" ht="15.75" customHeight="1">
      <c r="A32" s="2" t="s">
        <v>31</v>
      </c>
    </row>
    <row r="33" spans="1:1" ht="15.75" customHeight="1">
      <c r="A33" s="2" t="s">
        <v>32</v>
      </c>
    </row>
    <row r="34" spans="1:1" ht="15.75" customHeight="1">
      <c r="A34" s="2" t="s">
        <v>33</v>
      </c>
    </row>
    <row r="35" spans="1:1" ht="15.75" customHeight="1">
      <c r="A35" s="2" t="s">
        <v>34</v>
      </c>
    </row>
    <row r="36" spans="1:1" ht="15.75" customHeight="1">
      <c r="A36" s="2" t="s">
        <v>35</v>
      </c>
    </row>
    <row r="37" spans="1:1" ht="15.75" customHeight="1">
      <c r="A37" s="2" t="s">
        <v>36</v>
      </c>
    </row>
    <row r="38" spans="1:1" ht="15.75" customHeight="1">
      <c r="A38" s="2" t="s">
        <v>37</v>
      </c>
    </row>
    <row r="39" spans="1:1" ht="15.75" customHeight="1">
      <c r="A39" s="2" t="s">
        <v>38</v>
      </c>
    </row>
    <row r="40" spans="1:1" ht="15.75" customHeight="1">
      <c r="A40" s="2" t="s">
        <v>39</v>
      </c>
    </row>
    <row r="41" spans="1:1" ht="15.75" customHeight="1">
      <c r="A41" s="2" t="s">
        <v>40</v>
      </c>
    </row>
    <row r="42" spans="1:1" ht="15.75" customHeight="1">
      <c r="A42" s="2" t="s">
        <v>41</v>
      </c>
    </row>
    <row r="43" spans="1:1" ht="15.75" customHeight="1">
      <c r="A43" s="2" t="s">
        <v>42</v>
      </c>
    </row>
    <row r="44" spans="1:1" ht="15.75" customHeight="1">
      <c r="A44" s="2" t="s">
        <v>43</v>
      </c>
    </row>
    <row r="45" spans="1:1" ht="15.75" customHeight="1">
      <c r="A45" s="2" t="s">
        <v>44</v>
      </c>
    </row>
    <row r="46" spans="1:1" ht="15.75" customHeight="1">
      <c r="A46" s="2" t="s">
        <v>45</v>
      </c>
    </row>
    <row r="47" spans="1:1" ht="15.75" customHeight="1">
      <c r="A47" s="2" t="s">
        <v>46</v>
      </c>
    </row>
    <row r="48" spans="1:1" ht="15.75" customHeight="1">
      <c r="A48" s="2" t="s">
        <v>47</v>
      </c>
    </row>
    <row r="49" spans="1:1" ht="15.75" customHeight="1">
      <c r="A49" s="2" t="s">
        <v>48</v>
      </c>
    </row>
    <row r="50" spans="1:1" ht="15.75" customHeight="1">
      <c r="A50" s="2" t="s">
        <v>49</v>
      </c>
    </row>
    <row r="51" spans="1:1" ht="15.75" customHeight="1">
      <c r="A51" s="2" t="s">
        <v>50</v>
      </c>
    </row>
    <row r="52" spans="1:1" ht="15.75" customHeight="1">
      <c r="A52" s="2" t="s">
        <v>51</v>
      </c>
    </row>
    <row r="53" spans="1:1" ht="15.75" customHeight="1">
      <c r="A53" s="2" t="s">
        <v>52</v>
      </c>
    </row>
    <row r="54" spans="1:1" ht="15.75" customHeight="1">
      <c r="A54" s="2" t="s">
        <v>53</v>
      </c>
    </row>
    <row r="55" spans="1:1" ht="15.75" customHeight="1">
      <c r="A55" s="2" t="s">
        <v>54</v>
      </c>
    </row>
    <row r="56" spans="1:1" ht="15.75" customHeight="1">
      <c r="A56" s="2" t="s">
        <v>55</v>
      </c>
    </row>
    <row r="57" spans="1:1" ht="15.75" customHeight="1">
      <c r="A57" s="2" t="s">
        <v>56</v>
      </c>
    </row>
    <row r="58" spans="1:1" ht="15.75" customHeight="1">
      <c r="A58" s="2" t="s">
        <v>57</v>
      </c>
    </row>
    <row r="59" spans="1:1" ht="15.75" customHeight="1">
      <c r="A59" s="2" t="s">
        <v>58</v>
      </c>
    </row>
    <row r="60" spans="1:1" ht="15.75" customHeight="1">
      <c r="A60" s="2" t="s">
        <v>59</v>
      </c>
    </row>
    <row r="61" spans="1:1" ht="15.75" customHeight="1">
      <c r="A61" s="2" t="s">
        <v>60</v>
      </c>
    </row>
    <row r="62" spans="1:1" ht="15.75" customHeight="1">
      <c r="A62" s="2" t="s">
        <v>61</v>
      </c>
    </row>
    <row r="63" spans="1:1" ht="15.75" customHeight="1">
      <c r="A63" s="2" t="s">
        <v>62</v>
      </c>
    </row>
    <row r="64" spans="1:1" ht="15.75" customHeight="1">
      <c r="A64" s="2" t="s">
        <v>63</v>
      </c>
    </row>
    <row r="65" spans="1:1" ht="15.75" customHeight="1">
      <c r="A65" s="2" t="s">
        <v>64</v>
      </c>
    </row>
    <row r="66" spans="1:1" ht="15.75" customHeight="1">
      <c r="A66" s="2" t="s">
        <v>65</v>
      </c>
    </row>
    <row r="67" spans="1:1" ht="15.75" customHeight="1">
      <c r="A67" s="2" t="s">
        <v>66</v>
      </c>
    </row>
    <row r="68" spans="1:1" ht="15.75" customHeight="1">
      <c r="A68" s="2" t="s">
        <v>67</v>
      </c>
    </row>
    <row r="69" spans="1:1" ht="15.75" customHeight="1">
      <c r="A69" s="2" t="s">
        <v>68</v>
      </c>
    </row>
    <row r="70" spans="1:1" ht="15.75" customHeight="1">
      <c r="A70" s="2" t="s">
        <v>69</v>
      </c>
    </row>
    <row r="71" spans="1:1" ht="15.75" customHeight="1">
      <c r="A71" s="2" t="s">
        <v>70</v>
      </c>
    </row>
    <row r="72" spans="1:1" ht="15.75" customHeight="1">
      <c r="A72" s="2" t="s">
        <v>71</v>
      </c>
    </row>
    <row r="73" spans="1:1" ht="15.75" customHeight="1">
      <c r="A73" s="2" t="s">
        <v>72</v>
      </c>
    </row>
    <row r="74" spans="1:1" ht="15.75" customHeight="1">
      <c r="A74" s="2" t="s">
        <v>73</v>
      </c>
    </row>
    <row r="75" spans="1:1" ht="15.75" customHeight="1">
      <c r="A75" s="2" t="s">
        <v>74</v>
      </c>
    </row>
    <row r="76" spans="1:1" ht="15.75" customHeight="1">
      <c r="A76" s="2" t="s">
        <v>75</v>
      </c>
    </row>
    <row r="77" spans="1:1" ht="15.75" customHeight="1">
      <c r="A77" s="2" t="s">
        <v>76</v>
      </c>
    </row>
    <row r="78" spans="1:1" ht="15.75" customHeight="1">
      <c r="A78" s="2" t="s">
        <v>77</v>
      </c>
    </row>
    <row r="79" spans="1:1" ht="15.75" customHeight="1">
      <c r="A79" s="2" t="s">
        <v>78</v>
      </c>
    </row>
    <row r="80" spans="1:1" ht="15.75" customHeight="1">
      <c r="A80" s="2" t="s">
        <v>79</v>
      </c>
    </row>
    <row r="81" spans="1:1" ht="15.75" customHeight="1">
      <c r="A81" s="2" t="s">
        <v>80</v>
      </c>
    </row>
    <row r="82" spans="1:1" ht="15.75" customHeight="1">
      <c r="A82" s="2" t="s">
        <v>81</v>
      </c>
    </row>
    <row r="83" spans="1:1" ht="15.75" customHeight="1">
      <c r="A83" s="2" t="s">
        <v>82</v>
      </c>
    </row>
    <row r="84" spans="1:1" ht="15.75" customHeight="1">
      <c r="A84" s="2" t="s">
        <v>83</v>
      </c>
    </row>
    <row r="85" spans="1:1" ht="15.75" customHeight="1">
      <c r="A85" s="2" t="s">
        <v>84</v>
      </c>
    </row>
    <row r="86" spans="1:1" ht="15.75" customHeight="1">
      <c r="A86" s="2" t="s">
        <v>85</v>
      </c>
    </row>
    <row r="87" spans="1:1" ht="15.75" customHeight="1">
      <c r="A87" s="2" t="s">
        <v>86</v>
      </c>
    </row>
    <row r="88" spans="1:1" ht="15.75" customHeight="1">
      <c r="A88" s="2" t="s">
        <v>87</v>
      </c>
    </row>
    <row r="89" spans="1:1" ht="15.75" customHeight="1">
      <c r="A89" s="2" t="s">
        <v>88</v>
      </c>
    </row>
    <row r="90" spans="1:1" ht="15.75" customHeight="1">
      <c r="A90" s="2" t="s">
        <v>89</v>
      </c>
    </row>
    <row r="91" spans="1:1" ht="15.75" customHeight="1">
      <c r="A91" s="2" t="s">
        <v>90</v>
      </c>
    </row>
    <row r="92" spans="1:1" ht="15.75" customHeight="1">
      <c r="A92" s="2" t="s">
        <v>91</v>
      </c>
    </row>
    <row r="93" spans="1:1" ht="15.75" customHeight="1">
      <c r="A93" s="2" t="s">
        <v>92</v>
      </c>
    </row>
    <row r="94" spans="1:1" ht="15.75" customHeight="1">
      <c r="A94" s="2" t="s">
        <v>93</v>
      </c>
    </row>
    <row r="95" spans="1:1" ht="15.75" customHeight="1">
      <c r="A95" s="2" t="s">
        <v>94</v>
      </c>
    </row>
    <row r="96" spans="1:1" ht="15.75" customHeight="1">
      <c r="A96" s="2" t="s">
        <v>95</v>
      </c>
    </row>
    <row r="97" spans="1:1" ht="15.75" customHeight="1">
      <c r="A97" s="2" t="s">
        <v>96</v>
      </c>
    </row>
    <row r="98" spans="1:1" ht="15.75" customHeight="1">
      <c r="A98" s="2" t="s">
        <v>97</v>
      </c>
    </row>
    <row r="99" spans="1:1" ht="15.75" customHeight="1">
      <c r="A99" s="2" t="s">
        <v>98</v>
      </c>
    </row>
    <row r="100" spans="1:1" ht="15.75" customHeight="1">
      <c r="A100" s="2" t="s">
        <v>99</v>
      </c>
    </row>
    <row r="101" spans="1:1" ht="15.75" customHeight="1">
      <c r="A101" s="2" t="s">
        <v>100</v>
      </c>
    </row>
    <row r="102" spans="1:1" ht="15.75" customHeight="1">
      <c r="A102" s="2" t="s">
        <v>101</v>
      </c>
    </row>
    <row r="103" spans="1:1" ht="15.75" customHeight="1">
      <c r="A103" s="2" t="s">
        <v>102</v>
      </c>
    </row>
    <row r="104" spans="1:1" ht="15.75" customHeight="1">
      <c r="A104" s="2" t="s">
        <v>103</v>
      </c>
    </row>
    <row r="105" spans="1:1" ht="15.75" customHeight="1">
      <c r="A105" s="2" t="s">
        <v>104</v>
      </c>
    </row>
    <row r="106" spans="1:1" ht="15.75" customHeight="1">
      <c r="A106" s="2" t="s">
        <v>105</v>
      </c>
    </row>
    <row r="107" spans="1:1" ht="15.75" customHeight="1">
      <c r="A107" s="2" t="s">
        <v>106</v>
      </c>
    </row>
    <row r="108" spans="1:1" ht="15.75" customHeight="1">
      <c r="A108" s="2" t="s">
        <v>107</v>
      </c>
    </row>
    <row r="109" spans="1:1" ht="15.75" customHeight="1">
      <c r="A109" s="2" t="s">
        <v>108</v>
      </c>
    </row>
    <row r="110" spans="1:1" ht="15.75" customHeight="1">
      <c r="A110" s="2" t="s">
        <v>109</v>
      </c>
    </row>
    <row r="111" spans="1:1" ht="15.75" customHeight="1">
      <c r="A111" s="2" t="s">
        <v>110</v>
      </c>
    </row>
    <row r="112" spans="1:1" ht="15.75" customHeight="1">
      <c r="A112" s="2" t="s">
        <v>111</v>
      </c>
    </row>
    <row r="113" spans="1:1" ht="15.75" customHeight="1">
      <c r="A113" s="2" t="s">
        <v>112</v>
      </c>
    </row>
    <row r="114" spans="1:1" ht="15.75" customHeight="1">
      <c r="A114" s="2" t="s">
        <v>113</v>
      </c>
    </row>
    <row r="115" spans="1:1" ht="15.75" customHeight="1">
      <c r="A115" s="2" t="s">
        <v>114</v>
      </c>
    </row>
    <row r="116" spans="1:1" ht="15.75" customHeight="1">
      <c r="A116" s="2" t="s">
        <v>115</v>
      </c>
    </row>
    <row r="117" spans="1:1" ht="15.75" customHeight="1">
      <c r="A117" s="2" t="s">
        <v>116</v>
      </c>
    </row>
    <row r="118" spans="1:1" ht="15.75" customHeight="1">
      <c r="A118" s="2" t="s">
        <v>117</v>
      </c>
    </row>
    <row r="119" spans="1:1" ht="15.75" customHeight="1">
      <c r="A119" s="2" t="s">
        <v>118</v>
      </c>
    </row>
    <row r="120" spans="1:1" ht="15.75" customHeight="1">
      <c r="A120" s="2" t="s">
        <v>119</v>
      </c>
    </row>
    <row r="121" spans="1:1" ht="15.75" customHeight="1">
      <c r="A121" s="2" t="s">
        <v>120</v>
      </c>
    </row>
    <row r="122" spans="1:1" ht="15.75" customHeight="1">
      <c r="A122" s="2" t="s">
        <v>121</v>
      </c>
    </row>
    <row r="123" spans="1:1" ht="15.75" customHeight="1">
      <c r="A123" s="2" t="s">
        <v>122</v>
      </c>
    </row>
    <row r="124" spans="1:1" ht="15.75" customHeight="1">
      <c r="A124" s="2" t="s">
        <v>123</v>
      </c>
    </row>
    <row r="125" spans="1:1" ht="15.75" customHeight="1">
      <c r="A125" s="2" t="s">
        <v>124</v>
      </c>
    </row>
    <row r="126" spans="1:1" ht="15.75" customHeight="1">
      <c r="A126" s="2" t="s">
        <v>125</v>
      </c>
    </row>
    <row r="127" spans="1:1" ht="15.75" customHeight="1">
      <c r="A127" s="2" t="s">
        <v>126</v>
      </c>
    </row>
    <row r="128" spans="1:1" ht="15.75" customHeight="1">
      <c r="A128" s="2" t="s">
        <v>127</v>
      </c>
    </row>
    <row r="129" spans="1:1" ht="15.75" customHeight="1">
      <c r="A129" s="2" t="s">
        <v>128</v>
      </c>
    </row>
    <row r="130" spans="1:1" ht="15.75" customHeight="1">
      <c r="A130" s="2" t="s">
        <v>129</v>
      </c>
    </row>
    <row r="131" spans="1:1" ht="15.75" customHeight="1">
      <c r="A131" s="2" t="s">
        <v>130</v>
      </c>
    </row>
    <row r="132" spans="1:1" ht="15.75" customHeight="1">
      <c r="A132" s="2" t="s">
        <v>131</v>
      </c>
    </row>
    <row r="133" spans="1:1" ht="15.75" customHeight="1">
      <c r="A133" s="2" t="s">
        <v>132</v>
      </c>
    </row>
    <row r="134" spans="1:1" ht="15.75" customHeight="1">
      <c r="A134" s="2" t="s">
        <v>133</v>
      </c>
    </row>
    <row r="135" spans="1:1" ht="15.75" customHeight="1">
      <c r="A135" s="2" t="s">
        <v>134</v>
      </c>
    </row>
    <row r="136" spans="1:1" ht="15.75" customHeight="1">
      <c r="A136" s="2" t="s">
        <v>135</v>
      </c>
    </row>
    <row r="137" spans="1:1" ht="15.75" customHeight="1">
      <c r="A137" s="2" t="s">
        <v>136</v>
      </c>
    </row>
    <row r="138" spans="1:1" ht="15.75" customHeight="1">
      <c r="A138" s="2" t="s">
        <v>137</v>
      </c>
    </row>
    <row r="139" spans="1:1" ht="15.75" customHeight="1">
      <c r="A139" s="2" t="s">
        <v>138</v>
      </c>
    </row>
    <row r="140" spans="1:1" ht="15.75" customHeight="1">
      <c r="A140" s="2" t="s">
        <v>139</v>
      </c>
    </row>
    <row r="141" spans="1:1" ht="15.75" customHeight="1">
      <c r="A141" s="2" t="s">
        <v>140</v>
      </c>
    </row>
    <row r="142" spans="1:1" ht="15.75" customHeight="1">
      <c r="A142" s="2" t="s">
        <v>141</v>
      </c>
    </row>
    <row r="143" spans="1:1" ht="15.75" customHeight="1">
      <c r="A143" s="2" t="s">
        <v>142</v>
      </c>
    </row>
    <row r="144" spans="1:1" ht="15.75" customHeight="1">
      <c r="A144" s="2" t="s">
        <v>143</v>
      </c>
    </row>
    <row r="145" spans="1:1" ht="15.75" customHeight="1">
      <c r="A145" s="2" t="s">
        <v>144</v>
      </c>
    </row>
    <row r="146" spans="1:1" ht="15.75" customHeight="1">
      <c r="A146" s="2" t="s">
        <v>145</v>
      </c>
    </row>
    <row r="147" spans="1:1" ht="15.75" customHeight="1">
      <c r="A147" s="2" t="s">
        <v>146</v>
      </c>
    </row>
    <row r="148" spans="1:1" ht="15.75" customHeight="1">
      <c r="A148" s="2" t="s">
        <v>147</v>
      </c>
    </row>
    <row r="149" spans="1:1" ht="15.75" customHeight="1">
      <c r="A149" s="2" t="s">
        <v>148</v>
      </c>
    </row>
    <row r="150" spans="1:1" ht="15.75" customHeight="1">
      <c r="A150" s="2" t="s">
        <v>149</v>
      </c>
    </row>
    <row r="151" spans="1:1" ht="15.75" customHeight="1">
      <c r="A151" s="2" t="s">
        <v>150</v>
      </c>
    </row>
    <row r="152" spans="1:1" ht="15.75" customHeight="1">
      <c r="A152" s="2" t="s">
        <v>151</v>
      </c>
    </row>
    <row r="153" spans="1:1" ht="15.75" customHeight="1">
      <c r="A153" s="2" t="s">
        <v>152</v>
      </c>
    </row>
    <row r="154" spans="1:1" ht="15.75" customHeight="1">
      <c r="A154" s="2" t="s">
        <v>153</v>
      </c>
    </row>
    <row r="155" spans="1:1" ht="15.75" customHeight="1">
      <c r="A155" s="2" t="s">
        <v>154</v>
      </c>
    </row>
    <row r="156" spans="1:1" ht="15.75" customHeight="1">
      <c r="A156" s="2" t="s">
        <v>155</v>
      </c>
    </row>
    <row r="157" spans="1:1" ht="15.75" customHeight="1">
      <c r="A157" s="2" t="s">
        <v>156</v>
      </c>
    </row>
    <row r="158" spans="1:1" ht="15.75" customHeight="1">
      <c r="A158" s="2" t="s">
        <v>157</v>
      </c>
    </row>
    <row r="159" spans="1:1" ht="15.75" customHeight="1">
      <c r="A159" s="2" t="s">
        <v>158</v>
      </c>
    </row>
    <row r="160" spans="1:1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1000"/>
  <sheetViews>
    <sheetView workbookViewId="0"/>
  </sheetViews>
  <sheetFormatPr defaultColWidth="14.44140625" defaultRowHeight="15" customHeight="1"/>
  <cols>
    <col min="1" max="1" width="24.33203125" customWidth="1"/>
    <col min="2" max="2" width="14.88671875" customWidth="1"/>
    <col min="3" max="3" width="13.44140625" customWidth="1"/>
    <col min="4" max="4" width="14.88671875" customWidth="1"/>
    <col min="5" max="7" width="19" customWidth="1"/>
    <col min="8" max="8" width="6.33203125" customWidth="1"/>
    <col min="9" max="9" width="14.44140625" customWidth="1"/>
    <col min="10" max="10" width="11.33203125" customWidth="1"/>
    <col min="11" max="11" width="9.33203125" customWidth="1"/>
    <col min="12" max="12" width="14.33203125" customWidth="1"/>
    <col min="13" max="14" width="11.33203125" customWidth="1"/>
    <col min="15" max="15" width="8.44140625" customWidth="1"/>
    <col min="16" max="16" width="11.33203125" customWidth="1"/>
    <col min="17" max="17" width="10.6640625" customWidth="1"/>
    <col min="18" max="18" width="14.33203125" customWidth="1"/>
    <col min="19" max="20" width="11.33203125" customWidth="1"/>
    <col min="21" max="21" width="10.6640625" customWidth="1"/>
    <col min="22" max="22" width="9.109375" customWidth="1"/>
    <col min="23" max="23" width="16" customWidth="1"/>
    <col min="24" max="24" width="12.6640625" customWidth="1"/>
    <col min="25" max="25" width="10" customWidth="1"/>
    <col min="26" max="26" width="13.88671875" customWidth="1"/>
    <col min="27" max="27" width="36.109375" customWidth="1"/>
    <col min="28" max="28" width="9.5546875" customWidth="1"/>
    <col min="29" max="29" width="13.88671875" customWidth="1"/>
    <col min="30" max="30" width="14" customWidth="1"/>
    <col min="31" max="34" width="12.88671875" customWidth="1"/>
    <col min="35" max="35" width="11.88671875" customWidth="1"/>
    <col min="36" max="36" width="16.6640625" customWidth="1"/>
    <col min="37" max="37" width="12.88671875" customWidth="1"/>
    <col min="38" max="38" width="9.109375" customWidth="1"/>
    <col min="39" max="39" width="15.5546875" customWidth="1"/>
  </cols>
  <sheetData>
    <row r="1" spans="1:39" ht="15.75" customHeight="1">
      <c r="A1" s="3" t="s">
        <v>159</v>
      </c>
      <c r="B1" s="3"/>
      <c r="C1" s="4"/>
      <c r="D1" s="4"/>
      <c r="E1" s="5"/>
      <c r="F1" s="5"/>
      <c r="G1" s="5"/>
      <c r="H1" s="4"/>
      <c r="I1" s="5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V1" s="4"/>
      <c r="W1" s="6" t="s">
        <v>160</v>
      </c>
      <c r="X1" s="6" t="s">
        <v>161</v>
      </c>
      <c r="Y1" s="7" t="s">
        <v>162</v>
      </c>
      <c r="Z1" s="7" t="s">
        <v>163</v>
      </c>
      <c r="AE1" s="5"/>
      <c r="AF1" s="5"/>
      <c r="AG1" s="5"/>
      <c r="AH1" s="5"/>
      <c r="AI1" s="5"/>
      <c r="AJ1" s="5"/>
      <c r="AK1" s="5"/>
      <c r="AL1" s="5"/>
      <c r="AM1" s="5"/>
    </row>
    <row r="2" spans="1:39" ht="15.75" customHeight="1">
      <c r="A2" s="8" t="s">
        <v>164</v>
      </c>
      <c r="B2" s="9" t="s">
        <v>165</v>
      </c>
      <c r="C2" s="5"/>
      <c r="D2" s="9" t="s">
        <v>165</v>
      </c>
      <c r="E2" s="10"/>
      <c r="F2" s="5"/>
      <c r="G2" s="5"/>
      <c r="H2" s="4"/>
      <c r="I2" s="5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V2" s="4"/>
      <c r="W2" s="11" t="s">
        <v>166</v>
      </c>
      <c r="X2" s="11" t="s">
        <v>167</v>
      </c>
      <c r="Y2" s="7">
        <v>69.5</v>
      </c>
      <c r="Z2" s="7">
        <v>2246550</v>
      </c>
      <c r="AA2" s="1"/>
      <c r="AB2" s="1"/>
      <c r="AC2" s="1"/>
      <c r="AD2" s="1"/>
      <c r="AE2" s="5"/>
      <c r="AF2" s="5"/>
      <c r="AG2" s="5" t="s">
        <v>168</v>
      </c>
      <c r="AH2" s="5" t="s">
        <v>169</v>
      </c>
      <c r="AI2" s="5"/>
      <c r="AJ2" s="5"/>
      <c r="AK2" s="5"/>
      <c r="AL2" s="5"/>
      <c r="AM2" s="5"/>
    </row>
    <row r="3" spans="1:39" ht="15.75" customHeight="1">
      <c r="A3" s="8" t="s">
        <v>170</v>
      </c>
      <c r="B3" s="12">
        <v>44924</v>
      </c>
      <c r="C3" s="5"/>
      <c r="D3" s="12">
        <v>44894</v>
      </c>
      <c r="E3" s="1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V3" s="4"/>
      <c r="W3" s="11" t="s">
        <v>166</v>
      </c>
      <c r="X3" s="11" t="s">
        <v>171</v>
      </c>
      <c r="Y3" s="7">
        <v>101.15</v>
      </c>
      <c r="Z3" s="7">
        <v>1491825</v>
      </c>
      <c r="AA3" s="1"/>
      <c r="AB3" s="1"/>
      <c r="AC3" s="1"/>
      <c r="AD3" s="14">
        <v>44922</v>
      </c>
      <c r="AE3" s="5" t="str">
        <f>optionchain!$E$2</f>
        <v>NIFTY</v>
      </c>
      <c r="AF3" s="5" t="str">
        <f t="shared" ref="AF3:AF5" si="0">AE3&amp; " " &amp;AD3</f>
        <v>NIFTY 44922</v>
      </c>
      <c r="AG3" s="5" t="e">
        <f>VLOOKUP(AF3,'ALL FUT'!A:N,5,0)</f>
        <v>#N/A</v>
      </c>
      <c r="AH3" s="5" t="e">
        <f>VLOOKUP(AF3,'ALL FUT'!A:N,12,0)</f>
        <v>#N/A</v>
      </c>
      <c r="AI3" s="5" t="e">
        <f t="shared" ref="AI3:AI5" si="1">AH3/50</f>
        <v>#N/A</v>
      </c>
      <c r="AJ3" s="5"/>
      <c r="AK3" s="5"/>
      <c r="AL3" s="5"/>
      <c r="AM3" s="5"/>
    </row>
    <row r="4" spans="1:39" ht="15.75" customHeight="1">
      <c r="A4" s="8"/>
      <c r="B4" s="12">
        <v>44951</v>
      </c>
      <c r="C4" s="5"/>
      <c r="D4" s="12">
        <v>44896</v>
      </c>
      <c r="E4" s="13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V4" s="4"/>
      <c r="W4" s="11" t="s">
        <v>166</v>
      </c>
      <c r="X4" s="11" t="s">
        <v>172</v>
      </c>
      <c r="Y4" s="7">
        <v>146.5</v>
      </c>
      <c r="Z4" s="7">
        <v>1459800</v>
      </c>
      <c r="AA4" s="1"/>
      <c r="AB4" s="1"/>
      <c r="AC4" s="1"/>
      <c r="AD4" s="15">
        <v>44924</v>
      </c>
      <c r="AE4" s="5" t="str">
        <f>optionchain!$E$2</f>
        <v>NIFTY</v>
      </c>
      <c r="AF4" s="5" t="str">
        <f t="shared" si="0"/>
        <v>NIFTY 44924</v>
      </c>
      <c r="AG4" s="5">
        <f>VLOOKUP(AF4,'ALL FUT'!A:N,5,0)</f>
        <v>18649</v>
      </c>
      <c r="AH4" s="5" t="str">
        <f>VLOOKUP(AF4,'ALL FUT'!A:N,12,0)</f>
        <v>11,331,150</v>
      </c>
      <c r="AI4" s="5">
        <f t="shared" si="1"/>
        <v>226623</v>
      </c>
      <c r="AJ4" s="5"/>
      <c r="AK4" s="5"/>
      <c r="AL4" s="5"/>
      <c r="AM4" s="5"/>
    </row>
    <row r="5" spans="1:39" ht="15.75" customHeight="1">
      <c r="A5" s="8"/>
      <c r="B5" s="12">
        <v>44980</v>
      </c>
      <c r="C5" s="5"/>
      <c r="D5" s="12">
        <v>44901</v>
      </c>
      <c r="E5" s="13"/>
      <c r="F5" s="4"/>
      <c r="G5" s="4"/>
      <c r="H5" s="4">
        <v>1</v>
      </c>
      <c r="I5" s="4">
        <v>2</v>
      </c>
      <c r="J5" s="4">
        <v>3</v>
      </c>
      <c r="K5" s="4">
        <v>4</v>
      </c>
      <c r="L5" s="4">
        <v>5</v>
      </c>
      <c r="M5" s="4">
        <v>6</v>
      </c>
      <c r="N5" s="4">
        <v>7</v>
      </c>
      <c r="O5" s="4">
        <v>8</v>
      </c>
      <c r="P5" s="4">
        <v>9</v>
      </c>
      <c r="Q5" s="4">
        <v>10</v>
      </c>
      <c r="R5" s="4">
        <v>11</v>
      </c>
      <c r="S5" s="4">
        <v>12</v>
      </c>
      <c r="T5" s="4">
        <v>13</v>
      </c>
      <c r="V5" s="4"/>
      <c r="W5" s="11" t="s">
        <v>166</v>
      </c>
      <c r="X5" s="11" t="s">
        <v>173</v>
      </c>
      <c r="Y5" s="7">
        <v>322.8</v>
      </c>
      <c r="Z5" s="7">
        <v>1373700</v>
      </c>
      <c r="AA5" s="1"/>
      <c r="AB5" s="1"/>
      <c r="AC5" s="1"/>
      <c r="AD5" s="14">
        <v>44951</v>
      </c>
      <c r="AE5" s="5" t="str">
        <f>optionchain!$E$2</f>
        <v>NIFTY</v>
      </c>
      <c r="AF5" s="5" t="str">
        <f t="shared" si="0"/>
        <v>NIFTY 44951</v>
      </c>
      <c r="AG5" s="5">
        <f>VLOOKUP(AF5,'ALL FUT'!A:N,5,0)</f>
        <v>18752.599999999999</v>
      </c>
      <c r="AH5" s="5" t="str">
        <f>VLOOKUP(AF5,'ALL FUT'!A:N,12,0)</f>
        <v>1,095,550</v>
      </c>
      <c r="AI5" s="5">
        <f t="shared" si="1"/>
        <v>21911</v>
      </c>
      <c r="AJ5" s="5"/>
      <c r="AK5" s="5"/>
      <c r="AL5" s="5"/>
      <c r="AM5" s="5"/>
    </row>
    <row r="6" spans="1:39" ht="15.75" customHeight="1">
      <c r="A6" s="8"/>
      <c r="B6" s="4"/>
      <c r="C6" s="5"/>
      <c r="D6" s="12">
        <v>44903</v>
      </c>
      <c r="E6" s="13"/>
      <c r="F6" s="4"/>
      <c r="G6" s="4"/>
      <c r="H6" s="4"/>
      <c r="I6" s="4"/>
      <c r="J6" s="16"/>
      <c r="K6" s="16"/>
      <c r="L6" s="17" t="s">
        <v>174</v>
      </c>
      <c r="M6" s="17"/>
      <c r="N6" s="17"/>
      <c r="O6" s="18"/>
      <c r="P6" s="17"/>
      <c r="Q6" s="17"/>
      <c r="R6" s="17" t="s">
        <v>175</v>
      </c>
      <c r="S6" s="16"/>
      <c r="T6" s="16"/>
      <c r="V6" s="4"/>
      <c r="W6" s="11" t="s">
        <v>166</v>
      </c>
      <c r="X6" s="11" t="s">
        <v>176</v>
      </c>
      <c r="Y6" s="7">
        <v>250.5</v>
      </c>
      <c r="Z6" s="7">
        <v>1283175</v>
      </c>
      <c r="AA6" s="1"/>
      <c r="AB6" s="1"/>
      <c r="AC6" s="1"/>
      <c r="AD6" s="19"/>
      <c r="AE6" s="5"/>
      <c r="AF6" s="5"/>
      <c r="AG6" s="5"/>
      <c r="AH6" s="5"/>
      <c r="AI6" s="5"/>
      <c r="AJ6" s="5"/>
      <c r="AK6" s="5"/>
      <c r="AL6" s="5"/>
      <c r="AM6" s="5"/>
    </row>
    <row r="7" spans="1:39" ht="15.75" customHeight="1">
      <c r="A7" s="8"/>
      <c r="B7" s="4"/>
      <c r="C7" s="5"/>
      <c r="D7" s="12">
        <v>44910</v>
      </c>
      <c r="E7" s="13"/>
      <c r="F7" s="4"/>
      <c r="G7" s="4"/>
      <c r="H7" s="4"/>
      <c r="I7" s="4"/>
      <c r="J7" s="20" t="s">
        <v>177</v>
      </c>
      <c r="K7" s="21" t="s">
        <v>178</v>
      </c>
      <c r="L7" s="21" t="s">
        <v>179</v>
      </c>
      <c r="M7" s="21" t="s">
        <v>180</v>
      </c>
      <c r="N7" s="22" t="s">
        <v>181</v>
      </c>
      <c r="O7" s="18" t="s">
        <v>182</v>
      </c>
      <c r="P7" s="20" t="s">
        <v>177</v>
      </c>
      <c r="Q7" s="21" t="s">
        <v>178</v>
      </c>
      <c r="R7" s="21" t="s">
        <v>179</v>
      </c>
      <c r="S7" s="21" t="s">
        <v>183</v>
      </c>
      <c r="T7" s="22" t="s">
        <v>184</v>
      </c>
      <c r="V7" s="4"/>
      <c r="W7" s="4"/>
      <c r="X7" s="4"/>
      <c r="Y7" s="4"/>
      <c r="Z7" s="4"/>
      <c r="AA7" s="4"/>
      <c r="AB7" s="4"/>
      <c r="AC7" s="4">
        <f>(MIN(AC9:AC148))</f>
        <v>50</v>
      </c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1:39" ht="15.75" customHeight="1">
      <c r="A8" s="8"/>
      <c r="B8" s="8"/>
      <c r="C8" s="5"/>
      <c r="D8" s="12">
        <v>44917</v>
      </c>
      <c r="E8" s="13"/>
      <c r="F8" s="4"/>
      <c r="G8" s="4"/>
      <c r="H8" s="4" t="s">
        <v>185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V8" s="4"/>
      <c r="W8" s="4"/>
      <c r="X8" s="4"/>
      <c r="Y8" s="4"/>
      <c r="Z8" s="4"/>
      <c r="AA8" s="4"/>
      <c r="AB8" s="4"/>
      <c r="AC8" s="4"/>
      <c r="AD8" s="5"/>
      <c r="AE8" s="5"/>
      <c r="AF8" s="5"/>
      <c r="AG8" s="5"/>
      <c r="AH8" s="5"/>
      <c r="AI8" s="5"/>
      <c r="AJ8" s="5"/>
      <c r="AK8" s="5"/>
      <c r="AL8" s="5"/>
      <c r="AM8" s="5"/>
    </row>
    <row r="9" spans="1:39" ht="15.75" customHeight="1">
      <c r="A9" s="8"/>
      <c r="B9" s="8"/>
      <c r="C9" s="5"/>
      <c r="D9" s="12">
        <v>44924</v>
      </c>
      <c r="E9" s="13"/>
      <c r="F9" s="4"/>
      <c r="G9" s="4"/>
      <c r="H9" s="4" t="str">
        <f>optionchain!$J$2&amp; " " &amp;oiFNO!$O9</f>
        <v>44896 14650</v>
      </c>
      <c r="I9" s="4"/>
      <c r="J9" s="23"/>
      <c r="K9" s="23"/>
      <c r="L9" s="23"/>
      <c r="M9" s="23"/>
      <c r="N9" s="23"/>
      <c r="O9" s="23">
        <v>14650</v>
      </c>
      <c r="P9" s="23">
        <v>0.5</v>
      </c>
      <c r="Q9" s="23">
        <v>-0.25</v>
      </c>
      <c r="R9" s="23">
        <v>190700</v>
      </c>
      <c r="S9" s="23">
        <v>90100</v>
      </c>
      <c r="T9" s="23">
        <v>81500</v>
      </c>
      <c r="V9" s="16"/>
      <c r="W9" s="4"/>
      <c r="X9" s="4"/>
      <c r="Y9" s="4"/>
      <c r="Z9" s="4"/>
      <c r="AA9" s="4"/>
      <c r="AB9" s="4"/>
      <c r="AC9" s="4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1:39" ht="15.75" customHeight="1">
      <c r="A10" s="8"/>
      <c r="B10" s="8"/>
      <c r="C10" s="5"/>
      <c r="D10" s="12">
        <v>44931</v>
      </c>
      <c r="E10" s="13"/>
      <c r="F10" s="4"/>
      <c r="G10" s="4"/>
      <c r="H10" s="4" t="str">
        <f>optionchain!$J$2&amp; " " &amp;oiFNO!$O10</f>
        <v>44896 14700</v>
      </c>
      <c r="I10" s="4"/>
      <c r="J10" s="23"/>
      <c r="K10" s="23"/>
      <c r="L10" s="23"/>
      <c r="M10" s="23"/>
      <c r="N10" s="23"/>
      <c r="O10" s="23">
        <v>14700</v>
      </c>
      <c r="P10" s="23">
        <v>0.45</v>
      </c>
      <c r="Q10" s="23"/>
      <c r="R10" s="23">
        <v>52550</v>
      </c>
      <c r="S10" s="23">
        <v>24100</v>
      </c>
      <c r="T10" s="23">
        <v>24050</v>
      </c>
      <c r="V10" s="16"/>
      <c r="W10" s="4"/>
      <c r="X10" s="4"/>
      <c r="Y10" s="4"/>
      <c r="Z10" s="4"/>
      <c r="AA10" s="4"/>
      <c r="AB10" s="4"/>
      <c r="AC10" s="4">
        <f>IF(O9&gt;0,oiFNO!$O10-O9,"")</f>
        <v>50</v>
      </c>
      <c r="AD10" s="5">
        <f t="shared" ref="AD10:AD136" si="2">IF(AC10&gt;0,AC10,"")</f>
        <v>50</v>
      </c>
      <c r="AE10" s="5"/>
      <c r="AF10" s="5"/>
      <c r="AG10" s="5" t="s">
        <v>186</v>
      </c>
      <c r="AH10" s="5" t="s">
        <v>187</v>
      </c>
      <c r="AI10" s="5" t="s">
        <v>188</v>
      </c>
      <c r="AJ10" s="24" t="s">
        <v>189</v>
      </c>
      <c r="AK10" s="5" t="s">
        <v>190</v>
      </c>
      <c r="AL10" s="5" t="s">
        <v>191</v>
      </c>
      <c r="AM10" s="5" t="s">
        <v>192</v>
      </c>
    </row>
    <row r="11" spans="1:39" ht="15.75" customHeight="1">
      <c r="A11" s="8"/>
      <c r="B11" s="8"/>
      <c r="C11" s="4"/>
      <c r="D11" s="12">
        <v>44938</v>
      </c>
      <c r="E11" s="13"/>
      <c r="F11" s="4"/>
      <c r="G11" s="4"/>
      <c r="H11" s="4" t="str">
        <f>optionchain!$J$2&amp; " " &amp;oiFNO!$O11</f>
        <v>44896 14750</v>
      </c>
      <c r="I11" s="4"/>
      <c r="J11" s="23"/>
      <c r="K11" s="23"/>
      <c r="L11" s="23"/>
      <c r="M11" s="23"/>
      <c r="N11" s="23"/>
      <c r="O11" s="23">
        <v>14750</v>
      </c>
      <c r="P11" s="23">
        <v>1</v>
      </c>
      <c r="Q11" s="23">
        <v>-12.3</v>
      </c>
      <c r="R11" s="23">
        <v>1450</v>
      </c>
      <c r="S11" s="23">
        <v>750</v>
      </c>
      <c r="T11" s="23">
        <v>750</v>
      </c>
      <c r="V11" s="16"/>
      <c r="W11" s="4"/>
      <c r="X11" s="4"/>
      <c r="Y11" s="4"/>
      <c r="Z11" s="4"/>
      <c r="AA11" s="4"/>
      <c r="AB11" s="4"/>
      <c r="AC11" s="4">
        <f>IF(O10&gt;0,oiFNO!$O11-O10,"")</f>
        <v>50</v>
      </c>
      <c r="AD11" s="5">
        <f t="shared" si="2"/>
        <v>50</v>
      </c>
      <c r="AE11" s="5"/>
      <c r="AF11" s="25">
        <f ca="1">NOW()</f>
        <v>45465.604465972225</v>
      </c>
      <c r="AG11" s="26" t="str">
        <f ca="1">TEXT(AF11,"hhmm")</f>
        <v>1430</v>
      </c>
      <c r="AH11" s="5">
        <f>SUM(N9:N673)/50</f>
        <v>497314</v>
      </c>
      <c r="AI11" s="5">
        <f>SUM(T9:T673)/50</f>
        <v>313470</v>
      </c>
      <c r="AJ11" s="5" t="e">
        <f>AI3+AI4+AI5</f>
        <v>#N/A</v>
      </c>
      <c r="AK11" s="5">
        <f>optionchain!I4</f>
        <v>18649</v>
      </c>
      <c r="AL11" s="5">
        <f>optionchain!H17+optionchain!J17</f>
        <v>174.6</v>
      </c>
      <c r="AM11" s="5">
        <f>(optionchain!L28-optionchain!F28)</f>
        <v>-5793100</v>
      </c>
    </row>
    <row r="12" spans="1:39" ht="15.75" customHeight="1">
      <c r="A12" s="8"/>
      <c r="B12" s="8"/>
      <c r="C12" s="4"/>
      <c r="D12" s="12">
        <v>44945</v>
      </c>
      <c r="E12" s="13"/>
      <c r="F12" s="4"/>
      <c r="G12" s="4"/>
      <c r="H12" s="4" t="str">
        <f>optionchain!$J$2&amp; " " &amp;oiFNO!$O12</f>
        <v>44896 14800</v>
      </c>
      <c r="I12" s="4"/>
      <c r="J12" s="23"/>
      <c r="K12" s="23"/>
      <c r="L12" s="23"/>
      <c r="M12" s="23"/>
      <c r="N12" s="23"/>
      <c r="O12" s="23">
        <v>14800</v>
      </c>
      <c r="P12" s="23">
        <v>0.6</v>
      </c>
      <c r="Q12" s="23">
        <v>-14.05</v>
      </c>
      <c r="R12" s="23">
        <v>3750</v>
      </c>
      <c r="S12" s="23">
        <v>2500</v>
      </c>
      <c r="T12" s="23">
        <v>2500</v>
      </c>
      <c r="V12" s="16"/>
      <c r="W12" s="4"/>
      <c r="X12" s="4"/>
      <c r="Y12" s="4"/>
      <c r="Z12" s="4"/>
      <c r="AA12" s="4"/>
      <c r="AB12" s="4"/>
      <c r="AC12" s="4">
        <f>IF(O11&gt;0,oiFNO!$O12-O11,"")</f>
        <v>50</v>
      </c>
      <c r="AD12" s="5">
        <f t="shared" si="2"/>
        <v>50</v>
      </c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15.75" customHeight="1">
      <c r="A13" s="8"/>
      <c r="B13" s="8"/>
      <c r="C13" s="4"/>
      <c r="D13" s="12">
        <v>44951</v>
      </c>
      <c r="E13" s="13"/>
      <c r="F13" s="4"/>
      <c r="G13" s="4"/>
      <c r="H13" s="4" t="str">
        <f>optionchain!$J$2&amp; " " &amp;oiFNO!$O13</f>
        <v>44896 14850</v>
      </c>
      <c r="I13" s="4"/>
      <c r="J13" s="23"/>
      <c r="K13" s="23"/>
      <c r="L13" s="23"/>
      <c r="M13" s="23"/>
      <c r="N13" s="23"/>
      <c r="O13" s="23">
        <v>14850</v>
      </c>
      <c r="P13" s="23">
        <v>0.45</v>
      </c>
      <c r="Q13" s="23">
        <v>-0.55000000000000004</v>
      </c>
      <c r="R13" s="23">
        <v>10800</v>
      </c>
      <c r="S13" s="23">
        <v>5000</v>
      </c>
      <c r="T13" s="23">
        <v>2100</v>
      </c>
      <c r="V13" s="16"/>
      <c r="W13" s="4"/>
      <c r="X13" s="4"/>
      <c r="Y13" s="4"/>
      <c r="Z13" s="4"/>
      <c r="AA13" s="4"/>
      <c r="AB13" s="4"/>
      <c r="AC13" s="4">
        <f>IF(O12&gt;0,oiFNO!$O13-O12,"")</f>
        <v>50</v>
      </c>
      <c r="AD13" s="5">
        <f t="shared" si="2"/>
        <v>50</v>
      </c>
      <c r="AE13" s="5"/>
      <c r="AF13" s="5"/>
      <c r="AG13" s="5"/>
      <c r="AH13" s="5"/>
      <c r="AI13" s="5"/>
      <c r="AJ13" s="5"/>
      <c r="AK13" s="5"/>
      <c r="AL13" s="5"/>
      <c r="AM13" s="5"/>
    </row>
    <row r="14" spans="1:39" ht="15.75" customHeight="1">
      <c r="A14" s="8"/>
      <c r="B14" s="8"/>
      <c r="C14" s="4"/>
      <c r="D14" s="12">
        <v>44980</v>
      </c>
      <c r="E14" s="13"/>
      <c r="F14" s="4"/>
      <c r="G14" s="4"/>
      <c r="H14" s="4" t="str">
        <f>optionchain!$J$2&amp; " " &amp;oiFNO!$O14</f>
        <v>44896 14900</v>
      </c>
      <c r="I14" s="4"/>
      <c r="J14" s="23"/>
      <c r="K14" s="23"/>
      <c r="L14" s="23"/>
      <c r="M14" s="23"/>
      <c r="N14" s="23"/>
      <c r="O14" s="23">
        <v>14900</v>
      </c>
      <c r="P14" s="23">
        <v>0.5</v>
      </c>
      <c r="Q14" s="23">
        <v>-17.149999999999999</v>
      </c>
      <c r="R14" s="23">
        <v>3900</v>
      </c>
      <c r="S14" s="23">
        <v>1550</v>
      </c>
      <c r="T14" s="23">
        <v>1550</v>
      </c>
      <c r="V14" s="16"/>
      <c r="W14" s="7" t="s">
        <v>193</v>
      </c>
      <c r="X14" s="7">
        <v>0</v>
      </c>
      <c r="Y14" s="4"/>
      <c r="Z14" s="4"/>
      <c r="AA14" s="4"/>
      <c r="AB14" s="4"/>
      <c r="AC14" s="4">
        <f>IF(O13&gt;0,oiFNO!$O14-O13,"")</f>
        <v>50</v>
      </c>
      <c r="AD14" s="5">
        <f t="shared" si="2"/>
        <v>50</v>
      </c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15.75" customHeight="1">
      <c r="A15" s="8"/>
      <c r="B15" s="8"/>
      <c r="C15" s="4"/>
      <c r="D15" s="12">
        <v>45015</v>
      </c>
      <c r="E15" s="13"/>
      <c r="F15" s="4"/>
      <c r="G15" s="4"/>
      <c r="H15" s="4" t="str">
        <f>optionchain!$J$2&amp; " " &amp;oiFNO!$O15</f>
        <v>44896 14950</v>
      </c>
      <c r="I15" s="4"/>
      <c r="J15" s="23"/>
      <c r="K15" s="23"/>
      <c r="L15" s="23"/>
      <c r="M15" s="23"/>
      <c r="N15" s="23"/>
      <c r="O15" s="23">
        <v>14950</v>
      </c>
      <c r="P15" s="23">
        <v>0.75</v>
      </c>
      <c r="Q15" s="23">
        <v>-2.2999999999999998</v>
      </c>
      <c r="R15" s="23">
        <v>6500</v>
      </c>
      <c r="S15" s="23">
        <v>2450</v>
      </c>
      <c r="T15" s="23">
        <v>2400</v>
      </c>
      <c r="V15" s="16"/>
      <c r="W15" s="7" t="s">
        <v>194</v>
      </c>
      <c r="X15" s="7">
        <v>0</v>
      </c>
      <c r="Y15" s="4"/>
      <c r="Z15" s="4"/>
      <c r="AA15" s="4"/>
      <c r="AB15" s="4"/>
      <c r="AC15" s="4">
        <f>IF(O14&gt;0,oiFNO!$O15-O14,"")</f>
        <v>50</v>
      </c>
      <c r="AD15" s="5">
        <f t="shared" si="2"/>
        <v>50</v>
      </c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5.75" customHeight="1">
      <c r="A16" s="8"/>
      <c r="B16" s="8"/>
      <c r="C16" s="4"/>
      <c r="D16" s="12">
        <v>45106</v>
      </c>
      <c r="E16" s="13"/>
      <c r="F16" s="4"/>
      <c r="G16" s="4"/>
      <c r="H16" s="4" t="str">
        <f>optionchain!$J$2&amp; " " &amp;oiFNO!$O16</f>
        <v>44896 15000</v>
      </c>
      <c r="I16" s="4"/>
      <c r="J16" s="23"/>
      <c r="K16" s="23"/>
      <c r="L16" s="23"/>
      <c r="M16" s="23"/>
      <c r="N16" s="23"/>
      <c r="O16" s="23">
        <v>15000</v>
      </c>
      <c r="P16" s="23">
        <v>0.6</v>
      </c>
      <c r="Q16" s="23">
        <v>-0.55000000000000004</v>
      </c>
      <c r="R16" s="23">
        <v>546300</v>
      </c>
      <c r="S16" s="23">
        <v>322350</v>
      </c>
      <c r="T16" s="23">
        <v>-73600</v>
      </c>
      <c r="V16" s="16"/>
      <c r="W16" s="7" t="s">
        <v>195</v>
      </c>
      <c r="X16" s="7">
        <v>0</v>
      </c>
      <c r="Y16" s="4"/>
      <c r="Z16" s="4"/>
      <c r="AA16" s="4"/>
      <c r="AB16" s="4"/>
      <c r="AC16" s="4">
        <f>IF(O15&gt;0,oiFNO!$O16-O15,"")</f>
        <v>50</v>
      </c>
      <c r="AD16" s="5">
        <f t="shared" si="2"/>
        <v>50</v>
      </c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15.75" customHeight="1">
      <c r="A17" s="8"/>
      <c r="B17" s="8"/>
      <c r="C17" s="4"/>
      <c r="D17" s="12">
        <v>45197</v>
      </c>
      <c r="E17" s="4"/>
      <c r="F17" s="4"/>
      <c r="G17" s="4"/>
      <c r="H17" s="4" t="str">
        <f>optionchain!$J$2&amp; " " &amp;oiFNO!$O17</f>
        <v>44896 15050</v>
      </c>
      <c r="I17" s="4"/>
      <c r="J17" s="23"/>
      <c r="K17" s="23"/>
      <c r="L17" s="23"/>
      <c r="M17" s="23"/>
      <c r="N17" s="23"/>
      <c r="O17" s="23">
        <v>15050</v>
      </c>
      <c r="P17" s="23">
        <v>0.55000000000000004</v>
      </c>
      <c r="Q17" s="23">
        <v>-2.4500000000000002</v>
      </c>
      <c r="R17" s="23">
        <v>1400</v>
      </c>
      <c r="S17" s="23">
        <v>750</v>
      </c>
      <c r="T17" s="23">
        <v>600</v>
      </c>
      <c r="V17" s="16"/>
      <c r="W17" s="7" t="s">
        <v>196</v>
      </c>
      <c r="X17" s="7">
        <v>0</v>
      </c>
      <c r="Y17" s="4"/>
      <c r="Z17" s="4"/>
      <c r="AA17" s="4"/>
      <c r="AB17" s="4"/>
      <c r="AC17" s="4">
        <f>IF(O16&gt;0,oiFNO!$O17-O16,"")</f>
        <v>50</v>
      </c>
      <c r="AD17" s="5">
        <f t="shared" si="2"/>
        <v>50</v>
      </c>
      <c r="AE17" s="5"/>
      <c r="AF17" s="5"/>
      <c r="AG17" s="5"/>
      <c r="AH17" s="5"/>
      <c r="AI17" s="5"/>
      <c r="AJ17" s="5"/>
      <c r="AK17" s="5"/>
      <c r="AL17" s="5"/>
      <c r="AM17" s="5"/>
    </row>
    <row r="18" spans="1:39" ht="15.75" customHeight="1">
      <c r="A18" s="8"/>
      <c r="B18" s="8"/>
      <c r="C18" s="4"/>
      <c r="D18" s="12">
        <v>45288</v>
      </c>
      <c r="E18" s="4"/>
      <c r="F18" s="4"/>
      <c r="G18" s="4"/>
      <c r="H18" s="4" t="str">
        <f>optionchain!$J$2&amp; " " &amp;oiFNO!$O18</f>
        <v>44896 15100</v>
      </c>
      <c r="I18" s="4"/>
      <c r="J18" s="23"/>
      <c r="K18" s="23"/>
      <c r="L18" s="23"/>
      <c r="M18" s="23"/>
      <c r="N18" s="23"/>
      <c r="O18" s="23">
        <v>15100</v>
      </c>
      <c r="P18" s="23">
        <v>0.7</v>
      </c>
      <c r="Q18" s="23">
        <v>-24.6</v>
      </c>
      <c r="R18" s="23">
        <v>2950</v>
      </c>
      <c r="S18" s="23">
        <v>1950</v>
      </c>
      <c r="T18" s="23">
        <v>1950</v>
      </c>
      <c r="V18" s="16"/>
      <c r="W18" s="7" t="s">
        <v>197</v>
      </c>
      <c r="X18" s="7">
        <v>18512.75</v>
      </c>
      <c r="Y18" s="4"/>
      <c r="Z18" s="4"/>
      <c r="AA18" s="4"/>
      <c r="AB18" s="4"/>
      <c r="AC18" s="4">
        <f>IF(O17&gt;0,oiFNO!$O18-O17,"")</f>
        <v>50</v>
      </c>
      <c r="AD18" s="5">
        <f t="shared" si="2"/>
        <v>50</v>
      </c>
      <c r="AE18" s="5"/>
      <c r="AF18" s="5"/>
      <c r="AG18" s="5"/>
      <c r="AH18" s="5"/>
      <c r="AI18" s="5"/>
      <c r="AJ18" s="5"/>
      <c r="AK18" s="5"/>
      <c r="AL18" s="5"/>
      <c r="AM18" s="5"/>
    </row>
    <row r="19" spans="1:39" ht="15.75" customHeight="1">
      <c r="A19" s="8"/>
      <c r="B19" s="8"/>
      <c r="C19" s="4"/>
      <c r="D19" s="12">
        <v>45652</v>
      </c>
      <c r="E19" s="4"/>
      <c r="F19" s="4"/>
      <c r="G19" s="4"/>
      <c r="H19" s="4" t="str">
        <f>optionchain!$J$2&amp; " " &amp;oiFNO!$O19</f>
        <v>44896 15150</v>
      </c>
      <c r="I19" s="4"/>
      <c r="J19" s="23"/>
      <c r="K19" s="23"/>
      <c r="L19" s="23"/>
      <c r="M19" s="23"/>
      <c r="N19" s="23"/>
      <c r="O19" s="23">
        <v>15150</v>
      </c>
      <c r="P19" s="23">
        <v>1.1499999999999999</v>
      </c>
      <c r="Q19" s="23">
        <v>-1.9</v>
      </c>
      <c r="R19" s="23">
        <v>2950</v>
      </c>
      <c r="S19" s="23">
        <v>1900</v>
      </c>
      <c r="T19" s="23">
        <v>1900</v>
      </c>
      <c r="V19" s="16"/>
      <c r="W19" s="7" t="s">
        <v>198</v>
      </c>
      <c r="X19" s="7">
        <v>1.18</v>
      </c>
      <c r="Y19" s="4"/>
      <c r="Z19" s="4"/>
      <c r="AA19" s="4"/>
      <c r="AB19" s="4"/>
      <c r="AC19" s="4">
        <f>IF(O18&gt;0,oiFNO!$O19-O18,"")</f>
        <v>50</v>
      </c>
      <c r="AD19" s="5">
        <f t="shared" si="2"/>
        <v>50</v>
      </c>
      <c r="AE19" s="5"/>
      <c r="AF19" s="5"/>
      <c r="AG19" s="5"/>
      <c r="AH19" s="5"/>
      <c r="AI19" s="5"/>
      <c r="AJ19" s="5"/>
      <c r="AK19" s="5"/>
      <c r="AL19" s="5"/>
      <c r="AM19" s="5"/>
    </row>
    <row r="20" spans="1:39" ht="15.75" customHeight="1">
      <c r="A20" s="8"/>
      <c r="B20" s="8"/>
      <c r="C20" s="4"/>
      <c r="D20" s="4"/>
      <c r="E20" s="4"/>
      <c r="F20" s="4"/>
      <c r="G20" s="4"/>
      <c r="H20" s="4" t="str">
        <f>optionchain!$J$2&amp; " " &amp;oiFNO!$O20</f>
        <v>44896 15200</v>
      </c>
      <c r="I20" s="4"/>
      <c r="J20" s="23">
        <v>3051</v>
      </c>
      <c r="K20" s="23"/>
      <c r="L20" s="23"/>
      <c r="M20" s="23">
        <v>50</v>
      </c>
      <c r="N20" s="23"/>
      <c r="O20" s="23">
        <v>15200</v>
      </c>
      <c r="P20" s="23">
        <v>0.55000000000000004</v>
      </c>
      <c r="Q20" s="23">
        <v>-29.55</v>
      </c>
      <c r="R20" s="23">
        <v>3350</v>
      </c>
      <c r="S20" s="23">
        <v>2350</v>
      </c>
      <c r="T20" s="23">
        <v>2350</v>
      </c>
      <c r="V20" s="16"/>
      <c r="W20" s="7" t="s">
        <v>199</v>
      </c>
      <c r="X20" s="7">
        <v>1.38</v>
      </c>
      <c r="Y20" s="4"/>
      <c r="Z20" s="4"/>
      <c r="AA20" s="4"/>
      <c r="AB20" s="4"/>
      <c r="AC20" s="4">
        <f>IF(O19&gt;0,oiFNO!$O20-O19,"")</f>
        <v>50</v>
      </c>
      <c r="AD20" s="5">
        <f t="shared" si="2"/>
        <v>50</v>
      </c>
      <c r="AE20" s="5"/>
      <c r="AF20" s="5"/>
      <c r="AG20" s="5"/>
      <c r="AH20" s="5"/>
      <c r="AI20" s="5"/>
      <c r="AJ20" s="5"/>
      <c r="AK20" s="5"/>
      <c r="AL20" s="5"/>
      <c r="AM20" s="5"/>
    </row>
    <row r="21" spans="1:39" ht="15.75" customHeight="1">
      <c r="A21" s="8"/>
      <c r="B21" s="8"/>
      <c r="C21" s="4"/>
      <c r="D21" s="4"/>
      <c r="E21" s="4"/>
      <c r="F21" s="4"/>
      <c r="G21" s="4"/>
      <c r="H21" s="4" t="str">
        <f>optionchain!$J$2&amp; " " &amp;oiFNO!$O21</f>
        <v>44896 15250</v>
      </c>
      <c r="I21" s="4"/>
      <c r="J21" s="23"/>
      <c r="K21" s="23"/>
      <c r="L21" s="23"/>
      <c r="M21" s="23"/>
      <c r="N21" s="23"/>
      <c r="O21" s="23">
        <v>15250</v>
      </c>
      <c r="P21" s="23"/>
      <c r="Q21" s="23"/>
      <c r="R21" s="23"/>
      <c r="S21" s="23"/>
      <c r="T21" s="23"/>
      <c r="V21" s="16"/>
      <c r="W21" s="7" t="s">
        <v>200</v>
      </c>
      <c r="X21" s="7">
        <v>0</v>
      </c>
      <c r="Y21" s="4"/>
      <c r="Z21" s="4"/>
      <c r="AA21" s="4"/>
      <c r="AB21" s="4"/>
      <c r="AC21" s="4">
        <f>IF(O20&gt;0,oiFNO!$O21-O20,"")</f>
        <v>50</v>
      </c>
      <c r="AD21" s="5">
        <f t="shared" si="2"/>
        <v>50</v>
      </c>
      <c r="AE21" s="5"/>
      <c r="AF21" s="5"/>
      <c r="AG21" s="5"/>
      <c r="AH21" s="5"/>
      <c r="AI21" s="5"/>
      <c r="AJ21" s="5"/>
      <c r="AK21" s="5"/>
      <c r="AL21" s="5"/>
      <c r="AM21" s="5"/>
    </row>
    <row r="22" spans="1:39" ht="15.75" customHeight="1">
      <c r="A22" s="8"/>
      <c r="B22" s="8"/>
      <c r="C22" s="4"/>
      <c r="D22" s="4"/>
      <c r="E22" s="4"/>
      <c r="F22" s="4"/>
      <c r="G22" s="4"/>
      <c r="H22" s="4" t="str">
        <f>optionchain!$J$2&amp; " " &amp;oiFNO!$O22</f>
        <v>44896 15300</v>
      </c>
      <c r="I22" s="4"/>
      <c r="J22" s="23"/>
      <c r="K22" s="23"/>
      <c r="L22" s="23"/>
      <c r="M22" s="23"/>
      <c r="N22" s="23"/>
      <c r="O22" s="23">
        <v>15300</v>
      </c>
      <c r="P22" s="23">
        <v>0.75</v>
      </c>
      <c r="Q22" s="23">
        <v>-34.85</v>
      </c>
      <c r="R22" s="23">
        <v>4550</v>
      </c>
      <c r="S22" s="23">
        <v>800</v>
      </c>
      <c r="T22" s="23">
        <v>800</v>
      </c>
      <c r="V22" s="16"/>
      <c r="W22" s="7" t="s">
        <v>201</v>
      </c>
      <c r="X22" s="7">
        <v>0</v>
      </c>
      <c r="Y22" s="4"/>
      <c r="Z22" s="4"/>
      <c r="AA22" s="4"/>
      <c r="AB22" s="4"/>
      <c r="AC22" s="4">
        <f>IF(O21&gt;0,oiFNO!$O22-O21,"")</f>
        <v>50</v>
      </c>
      <c r="AD22" s="5">
        <f t="shared" si="2"/>
        <v>50</v>
      </c>
      <c r="AE22" s="5"/>
      <c r="AF22" s="5"/>
      <c r="AG22" s="5"/>
      <c r="AH22" s="5"/>
      <c r="AI22" s="5"/>
      <c r="AJ22" s="5"/>
      <c r="AK22" s="5"/>
      <c r="AL22" s="5"/>
      <c r="AM22" s="5"/>
    </row>
    <row r="23" spans="1:39" ht="15.75" customHeight="1">
      <c r="A23" s="8"/>
      <c r="B23" s="8"/>
      <c r="C23" s="4"/>
      <c r="D23" s="4"/>
      <c r="E23" s="4"/>
      <c r="F23" s="4"/>
      <c r="G23" s="4"/>
      <c r="H23" s="4" t="str">
        <f>optionchain!$J$2&amp; " " &amp;oiFNO!$O23</f>
        <v>44896 15350</v>
      </c>
      <c r="I23" s="4"/>
      <c r="J23" s="23"/>
      <c r="K23" s="23"/>
      <c r="L23" s="23"/>
      <c r="M23" s="23"/>
      <c r="N23" s="23"/>
      <c r="O23" s="23">
        <v>15350</v>
      </c>
      <c r="P23" s="23"/>
      <c r="Q23" s="23"/>
      <c r="R23" s="23"/>
      <c r="S23" s="23"/>
      <c r="T23" s="23"/>
      <c r="V23" s="16"/>
      <c r="W23" s="4"/>
      <c r="X23" s="4"/>
      <c r="Y23" s="4"/>
      <c r="Z23" s="4"/>
      <c r="AA23" s="4"/>
      <c r="AB23" s="4"/>
      <c r="AC23" s="4">
        <f>IF(O22&gt;0,oiFNO!$O23-O22,"")</f>
        <v>50</v>
      </c>
      <c r="AD23" s="5">
        <f t="shared" si="2"/>
        <v>50</v>
      </c>
      <c r="AE23" s="5"/>
      <c r="AF23" s="5"/>
      <c r="AG23" s="5"/>
      <c r="AH23" s="5"/>
      <c r="AI23" s="5"/>
      <c r="AJ23" s="5"/>
      <c r="AK23" s="5"/>
      <c r="AL23" s="5"/>
      <c r="AM23" s="5"/>
    </row>
    <row r="24" spans="1:39" ht="15.75" customHeight="1">
      <c r="A24" s="8"/>
      <c r="B24" s="8"/>
      <c r="C24" s="4"/>
      <c r="D24" s="4"/>
      <c r="E24" s="4"/>
      <c r="F24" s="4"/>
      <c r="G24" s="4"/>
      <c r="H24" s="4" t="str">
        <f>optionchain!$J$2&amp; " " &amp;oiFNO!$O24</f>
        <v>44896 15400</v>
      </c>
      <c r="I24" s="4"/>
      <c r="J24" s="23"/>
      <c r="K24" s="23"/>
      <c r="L24" s="23"/>
      <c r="M24" s="23"/>
      <c r="N24" s="23"/>
      <c r="O24" s="23">
        <v>15400</v>
      </c>
      <c r="P24" s="23">
        <v>0.55000000000000004</v>
      </c>
      <c r="Q24" s="23">
        <v>-41.35</v>
      </c>
      <c r="R24" s="23">
        <v>2500</v>
      </c>
      <c r="S24" s="23">
        <v>1000</v>
      </c>
      <c r="T24" s="23">
        <v>1000</v>
      </c>
      <c r="V24" s="16"/>
      <c r="W24" s="4"/>
      <c r="X24" s="4"/>
      <c r="Y24" s="4"/>
      <c r="Z24" s="4"/>
      <c r="AA24" s="4"/>
      <c r="AB24" s="4"/>
      <c r="AC24" s="4">
        <f>IF(O23&gt;0,oiFNO!$O24-O23,"")</f>
        <v>50</v>
      </c>
      <c r="AD24" s="5">
        <f t="shared" si="2"/>
        <v>50</v>
      </c>
      <c r="AE24" s="5"/>
      <c r="AF24" s="5"/>
      <c r="AG24" s="5"/>
      <c r="AH24" s="5"/>
      <c r="AI24" s="5"/>
      <c r="AJ24" s="5"/>
      <c r="AK24" s="5"/>
      <c r="AL24" s="5"/>
      <c r="AM24" s="5"/>
    </row>
    <row r="25" spans="1:39" ht="15.75" customHeight="1">
      <c r="A25" s="8"/>
      <c r="B25" s="8"/>
      <c r="C25" s="4"/>
      <c r="D25" s="4"/>
      <c r="E25" s="4"/>
      <c r="F25" s="4"/>
      <c r="G25" s="4"/>
      <c r="H25" s="4" t="str">
        <f>optionchain!$J$2&amp; " " &amp;oiFNO!$O25</f>
        <v>44896 15450</v>
      </c>
      <c r="I25" s="4"/>
      <c r="J25" s="23"/>
      <c r="K25" s="23"/>
      <c r="L25" s="23"/>
      <c r="M25" s="23"/>
      <c r="N25" s="23"/>
      <c r="O25" s="23">
        <v>15450</v>
      </c>
      <c r="P25" s="23"/>
      <c r="Q25" s="23"/>
      <c r="R25" s="23"/>
      <c r="S25" s="23"/>
      <c r="T25" s="23"/>
      <c r="V25" s="16"/>
      <c r="W25" s="4"/>
      <c r="X25" s="4"/>
      <c r="Y25" s="4"/>
      <c r="Z25" s="4"/>
      <c r="AA25" s="4"/>
      <c r="AB25" s="4"/>
      <c r="AC25" s="4">
        <f>IF(O24&gt;0,oiFNO!$O25-O24,"")</f>
        <v>50</v>
      </c>
      <c r="AD25" s="5">
        <f t="shared" si="2"/>
        <v>50</v>
      </c>
      <c r="AE25" s="5"/>
      <c r="AF25" s="5"/>
      <c r="AG25" s="5"/>
      <c r="AH25" s="5"/>
      <c r="AI25" s="5"/>
      <c r="AJ25" s="5"/>
      <c r="AK25" s="5"/>
      <c r="AL25" s="5"/>
      <c r="AM25" s="5"/>
    </row>
    <row r="26" spans="1:39" ht="15.75" customHeight="1">
      <c r="A26" s="8"/>
      <c r="B26" s="8"/>
      <c r="C26" s="4"/>
      <c r="D26" s="4"/>
      <c r="E26" s="4"/>
      <c r="F26" s="4"/>
      <c r="G26" s="4"/>
      <c r="H26" s="4" t="str">
        <f>optionchain!$J$2&amp; " " &amp;oiFNO!$O26</f>
        <v>44896 15500</v>
      </c>
      <c r="I26" s="4"/>
      <c r="J26" s="23"/>
      <c r="K26" s="23"/>
      <c r="L26" s="23"/>
      <c r="M26" s="23"/>
      <c r="N26" s="23"/>
      <c r="O26" s="23">
        <v>15500</v>
      </c>
      <c r="P26" s="23">
        <v>0.65</v>
      </c>
      <c r="Q26" s="23">
        <v>-0.5</v>
      </c>
      <c r="R26" s="23">
        <v>198600</v>
      </c>
      <c r="S26" s="23">
        <v>104850</v>
      </c>
      <c r="T26" s="23">
        <v>49300</v>
      </c>
      <c r="V26" s="16"/>
      <c r="W26" s="4"/>
      <c r="X26" s="4"/>
      <c r="Y26" s="4"/>
      <c r="Z26" s="4"/>
      <c r="AA26" s="4"/>
      <c r="AB26" s="4"/>
      <c r="AC26" s="4">
        <f>IF(O25&gt;0,oiFNO!$O26-O25,"")</f>
        <v>50</v>
      </c>
      <c r="AD26" s="5">
        <f t="shared" si="2"/>
        <v>50</v>
      </c>
      <c r="AE26" s="5"/>
      <c r="AF26" s="5"/>
      <c r="AG26" s="5"/>
      <c r="AH26" s="5"/>
      <c r="AI26" s="5"/>
      <c r="AJ26" s="5"/>
      <c r="AK26" s="5"/>
      <c r="AL26" s="5"/>
      <c r="AM26" s="5"/>
    </row>
    <row r="27" spans="1:39" ht="15.75" customHeight="1">
      <c r="A27" s="8"/>
      <c r="B27" s="8"/>
      <c r="C27" s="4"/>
      <c r="D27" s="4"/>
      <c r="E27" s="4"/>
      <c r="F27" s="4"/>
      <c r="G27" s="4"/>
      <c r="H27" s="4" t="str">
        <f>optionchain!$J$2&amp; " " &amp;oiFNO!$O27</f>
        <v>44896 15550</v>
      </c>
      <c r="I27" s="4"/>
      <c r="J27" s="23"/>
      <c r="K27" s="23"/>
      <c r="L27" s="23"/>
      <c r="M27" s="23"/>
      <c r="N27" s="23"/>
      <c r="O27" s="23">
        <v>15550</v>
      </c>
      <c r="P27" s="23">
        <v>2.4</v>
      </c>
      <c r="Q27" s="23">
        <v>-0.65</v>
      </c>
      <c r="R27" s="23">
        <v>100</v>
      </c>
      <c r="S27" s="23">
        <v>200</v>
      </c>
      <c r="T27" s="23">
        <v>100</v>
      </c>
      <c r="V27" s="16"/>
      <c r="W27" s="4"/>
      <c r="X27" s="4"/>
      <c r="Y27" s="4"/>
      <c r="Z27" s="4"/>
      <c r="AA27" s="4"/>
      <c r="AB27" s="4"/>
      <c r="AC27" s="4">
        <f>IF(O26&gt;0,oiFNO!$O27-O26,"")</f>
        <v>50</v>
      </c>
      <c r="AD27" s="5">
        <f t="shared" si="2"/>
        <v>50</v>
      </c>
      <c r="AE27" s="5"/>
      <c r="AF27" s="5"/>
      <c r="AG27" s="5"/>
      <c r="AH27" s="5"/>
      <c r="AI27" s="5"/>
      <c r="AJ27" s="5"/>
      <c r="AK27" s="5"/>
      <c r="AL27" s="5"/>
      <c r="AM27" s="5"/>
    </row>
    <row r="28" spans="1:39" ht="15.75" customHeight="1">
      <c r="A28" s="8"/>
      <c r="B28" s="8"/>
      <c r="C28" s="4"/>
      <c r="D28" s="4"/>
      <c r="E28" s="4"/>
      <c r="F28" s="4"/>
      <c r="G28" s="4"/>
      <c r="H28" s="4" t="str">
        <f>optionchain!$J$2&amp; " " &amp;oiFNO!$O28</f>
        <v>44896 15600</v>
      </c>
      <c r="I28" s="4"/>
      <c r="J28" s="23"/>
      <c r="K28" s="23"/>
      <c r="L28" s="23"/>
      <c r="M28" s="23"/>
      <c r="N28" s="23"/>
      <c r="O28" s="23">
        <v>15600</v>
      </c>
      <c r="P28" s="23">
        <v>0.6</v>
      </c>
      <c r="Q28" s="23">
        <v>-56.6</v>
      </c>
      <c r="R28" s="23">
        <v>6150</v>
      </c>
      <c r="S28" s="23">
        <v>4650</v>
      </c>
      <c r="T28" s="23">
        <v>4650</v>
      </c>
      <c r="V28" s="16"/>
      <c r="W28" s="4"/>
      <c r="X28" s="4"/>
      <c r="Y28" s="4"/>
      <c r="Z28" s="4"/>
      <c r="AA28" s="4"/>
      <c r="AB28" s="4"/>
      <c r="AC28" s="4">
        <f>IF(O27&gt;0,oiFNO!$O28-O27,"")</f>
        <v>50</v>
      </c>
      <c r="AD28" s="5">
        <f t="shared" si="2"/>
        <v>50</v>
      </c>
      <c r="AE28" s="5"/>
      <c r="AF28" s="5"/>
      <c r="AG28" s="5"/>
      <c r="AH28" s="5"/>
      <c r="AI28" s="5"/>
      <c r="AJ28" s="5"/>
      <c r="AK28" s="5"/>
      <c r="AL28" s="5"/>
      <c r="AM28" s="5"/>
    </row>
    <row r="29" spans="1:39" ht="15.75" customHeight="1">
      <c r="A29" s="8"/>
      <c r="B29" s="8"/>
      <c r="C29" s="4"/>
      <c r="D29" s="4"/>
      <c r="E29" s="4"/>
      <c r="F29" s="4"/>
      <c r="G29" s="4"/>
      <c r="H29" s="4" t="str">
        <f>optionchain!$J$2&amp; " " &amp;oiFNO!$O29</f>
        <v>44896 15650</v>
      </c>
      <c r="I29" s="4"/>
      <c r="J29" s="23"/>
      <c r="K29" s="23"/>
      <c r="L29" s="23"/>
      <c r="M29" s="23"/>
      <c r="N29" s="23"/>
      <c r="O29" s="23">
        <v>15650</v>
      </c>
      <c r="P29" s="23"/>
      <c r="Q29" s="23"/>
      <c r="R29" s="23"/>
      <c r="S29" s="23"/>
      <c r="T29" s="23"/>
      <c r="V29" s="16"/>
      <c r="W29" s="4"/>
      <c r="X29" s="4"/>
      <c r="Y29" s="4"/>
      <c r="Z29" s="4"/>
      <c r="AA29" s="4"/>
      <c r="AB29" s="4"/>
      <c r="AC29" s="4">
        <f>IF(O28&gt;0,oiFNO!$O29-O28,"")</f>
        <v>50</v>
      </c>
      <c r="AD29" s="5">
        <f t="shared" si="2"/>
        <v>50</v>
      </c>
      <c r="AE29" s="5"/>
      <c r="AF29" s="5"/>
      <c r="AG29" s="5"/>
      <c r="AH29" s="5"/>
      <c r="AI29" s="5"/>
      <c r="AJ29" s="5"/>
      <c r="AK29" s="5"/>
      <c r="AL29" s="5"/>
      <c r="AM29" s="5"/>
    </row>
    <row r="30" spans="1:39" ht="15.75" customHeight="1">
      <c r="A30" s="8"/>
      <c r="B30" s="8"/>
      <c r="C30" s="4"/>
      <c r="D30" s="4"/>
      <c r="E30" s="4"/>
      <c r="F30" s="4"/>
      <c r="G30" s="4"/>
      <c r="H30" s="4" t="str">
        <f>optionchain!$J$2&amp; " " &amp;oiFNO!$O30</f>
        <v>44896 15700</v>
      </c>
      <c r="I30" s="4"/>
      <c r="J30" s="23"/>
      <c r="K30" s="23"/>
      <c r="L30" s="23"/>
      <c r="M30" s="23"/>
      <c r="N30" s="23"/>
      <c r="O30" s="23">
        <v>15700</v>
      </c>
      <c r="P30" s="23">
        <v>0.75</v>
      </c>
      <c r="Q30" s="23">
        <v>-65.650000000000006</v>
      </c>
      <c r="R30" s="23">
        <v>2500</v>
      </c>
      <c r="S30" s="23">
        <v>1600</v>
      </c>
      <c r="T30" s="23">
        <v>1600</v>
      </c>
      <c r="V30" s="16"/>
      <c r="W30" s="4"/>
      <c r="X30" s="4"/>
      <c r="Y30" s="4"/>
      <c r="Z30" s="4"/>
      <c r="AA30" s="4"/>
      <c r="AB30" s="4"/>
      <c r="AC30" s="4">
        <f>IF(O29&gt;0,oiFNO!$O30-O29,"")</f>
        <v>50</v>
      </c>
      <c r="AD30" s="5">
        <f t="shared" si="2"/>
        <v>50</v>
      </c>
      <c r="AE30" s="5"/>
      <c r="AF30" s="5"/>
      <c r="AG30" s="5"/>
      <c r="AH30" s="5"/>
      <c r="AI30" s="5"/>
      <c r="AJ30" s="5"/>
      <c r="AK30" s="5"/>
      <c r="AL30" s="5"/>
      <c r="AM30" s="5"/>
    </row>
    <row r="31" spans="1:39" ht="15.75" customHeight="1">
      <c r="A31" s="8"/>
      <c r="B31" s="8"/>
      <c r="C31" s="4"/>
      <c r="D31" s="4"/>
      <c r="E31" s="4"/>
      <c r="F31" s="4"/>
      <c r="G31" s="4"/>
      <c r="H31" s="4" t="str">
        <f>optionchain!$J$2&amp; " " &amp;oiFNO!$O31</f>
        <v>44896 15750</v>
      </c>
      <c r="I31" s="4"/>
      <c r="J31" s="23"/>
      <c r="K31" s="23"/>
      <c r="L31" s="23"/>
      <c r="M31" s="23"/>
      <c r="N31" s="23"/>
      <c r="O31" s="23">
        <v>15750</v>
      </c>
      <c r="P31" s="23"/>
      <c r="Q31" s="23"/>
      <c r="R31" s="23"/>
      <c r="S31" s="23"/>
      <c r="T31" s="23"/>
      <c r="V31" s="16"/>
      <c r="W31" s="4"/>
      <c r="X31" s="4"/>
      <c r="Y31" s="4"/>
      <c r="Z31" s="4"/>
      <c r="AA31" s="4"/>
      <c r="AB31" s="4"/>
      <c r="AC31" s="4">
        <f>IF(O30&gt;0,oiFNO!$O31-O30,"")</f>
        <v>50</v>
      </c>
      <c r="AD31" s="5">
        <f t="shared" si="2"/>
        <v>50</v>
      </c>
      <c r="AE31" s="5"/>
      <c r="AF31" s="5"/>
      <c r="AG31" s="5"/>
      <c r="AH31" s="5"/>
      <c r="AI31" s="5"/>
      <c r="AJ31" s="5"/>
      <c r="AK31" s="5"/>
      <c r="AL31" s="5"/>
      <c r="AM31" s="5"/>
    </row>
    <row r="32" spans="1:39" ht="15.75" customHeight="1">
      <c r="A32" s="8"/>
      <c r="B32" s="8"/>
      <c r="C32" s="4"/>
      <c r="D32" s="4"/>
      <c r="E32" s="4"/>
      <c r="F32" s="4"/>
      <c r="G32" s="4"/>
      <c r="H32" s="4" t="str">
        <f>optionchain!$J$2&amp; " " &amp;oiFNO!$O32</f>
        <v>44896 15800</v>
      </c>
      <c r="I32" s="4"/>
      <c r="J32" s="23"/>
      <c r="K32" s="23"/>
      <c r="L32" s="23"/>
      <c r="M32" s="23"/>
      <c r="N32" s="23"/>
      <c r="O32" s="23">
        <v>15800</v>
      </c>
      <c r="P32" s="23">
        <v>0.65</v>
      </c>
      <c r="Q32" s="23">
        <v>-76.099999999999994</v>
      </c>
      <c r="R32" s="23">
        <v>6500</v>
      </c>
      <c r="S32" s="23">
        <v>1300</v>
      </c>
      <c r="T32" s="23">
        <v>1300</v>
      </c>
      <c r="V32" s="16"/>
      <c r="W32" s="4"/>
      <c r="X32" s="4"/>
      <c r="Y32" s="4"/>
      <c r="Z32" s="4"/>
      <c r="AA32" s="4"/>
      <c r="AB32" s="4"/>
      <c r="AC32" s="4">
        <f>IF(O31&gt;0,oiFNO!$O32-O31,"")</f>
        <v>50</v>
      </c>
      <c r="AD32" s="5">
        <f t="shared" si="2"/>
        <v>50</v>
      </c>
      <c r="AE32" s="5"/>
      <c r="AF32" s="5"/>
      <c r="AG32" s="5"/>
      <c r="AH32" s="5"/>
      <c r="AI32" s="5"/>
      <c r="AJ32" s="5"/>
      <c r="AK32" s="5"/>
      <c r="AL32" s="5"/>
      <c r="AM32" s="5"/>
    </row>
    <row r="33" spans="1:39" ht="15.75" customHeight="1">
      <c r="A33" s="8"/>
      <c r="B33" s="8"/>
      <c r="C33" s="4"/>
      <c r="D33" s="4"/>
      <c r="E33" s="4"/>
      <c r="F33" s="4"/>
      <c r="G33" s="4"/>
      <c r="H33" s="4" t="str">
        <f>optionchain!$J$2&amp; " " &amp;oiFNO!$O33</f>
        <v>44896 15850</v>
      </c>
      <c r="I33" s="4"/>
      <c r="J33" s="23"/>
      <c r="K33" s="23"/>
      <c r="L33" s="23"/>
      <c r="M33" s="23"/>
      <c r="N33" s="23"/>
      <c r="O33" s="23">
        <v>15850</v>
      </c>
      <c r="P33" s="23">
        <v>1</v>
      </c>
      <c r="Q33" s="23">
        <v>-81.400000000000006</v>
      </c>
      <c r="R33" s="23">
        <v>400</v>
      </c>
      <c r="S33" s="23">
        <v>100</v>
      </c>
      <c r="T33" s="23">
        <v>100</v>
      </c>
      <c r="V33" s="16"/>
      <c r="W33" s="4"/>
      <c r="X33" s="4"/>
      <c r="Y33" s="4"/>
      <c r="Z33" s="4"/>
      <c r="AA33" s="4"/>
      <c r="AB33" s="4"/>
      <c r="AC33" s="4">
        <f>IF(O32&gt;0,oiFNO!$O33-O32,"")</f>
        <v>50</v>
      </c>
      <c r="AD33" s="5">
        <f t="shared" si="2"/>
        <v>50</v>
      </c>
      <c r="AE33" s="5"/>
      <c r="AF33" s="5"/>
      <c r="AG33" s="5"/>
      <c r="AH33" s="5"/>
      <c r="AI33" s="5"/>
      <c r="AJ33" s="5"/>
      <c r="AK33" s="5"/>
      <c r="AL33" s="5"/>
      <c r="AM33" s="5"/>
    </row>
    <row r="34" spans="1:39" ht="15.75" customHeight="1">
      <c r="A34" s="8"/>
      <c r="B34" s="8"/>
      <c r="C34" s="4"/>
      <c r="D34" s="4"/>
      <c r="E34" s="4"/>
      <c r="F34" s="4"/>
      <c r="G34" s="4"/>
      <c r="H34" s="4" t="str">
        <f>optionchain!$J$2&amp; " " &amp;oiFNO!$O34</f>
        <v>44896 15900</v>
      </c>
      <c r="I34" s="4"/>
      <c r="J34" s="23"/>
      <c r="K34" s="23"/>
      <c r="L34" s="23"/>
      <c r="M34" s="23"/>
      <c r="N34" s="23"/>
      <c r="O34" s="23">
        <v>15900</v>
      </c>
      <c r="P34" s="23">
        <v>1</v>
      </c>
      <c r="Q34" s="23">
        <v>-87.35</v>
      </c>
      <c r="R34" s="23">
        <v>5500</v>
      </c>
      <c r="S34" s="23">
        <v>2550</v>
      </c>
      <c r="T34" s="23">
        <v>2550</v>
      </c>
      <c r="V34" s="16"/>
      <c r="W34" s="4"/>
      <c r="X34" s="4"/>
      <c r="Y34" s="4"/>
      <c r="Z34" s="4"/>
      <c r="AA34" s="4"/>
      <c r="AB34" s="4"/>
      <c r="AC34" s="4">
        <f>IF(O33&gt;0,oiFNO!$O34-O33,"")</f>
        <v>50</v>
      </c>
      <c r="AD34" s="5">
        <f t="shared" si="2"/>
        <v>50</v>
      </c>
      <c r="AE34" s="5"/>
      <c r="AF34" s="5"/>
      <c r="AG34" s="5"/>
      <c r="AH34" s="5"/>
      <c r="AI34" s="5"/>
      <c r="AJ34" s="5"/>
      <c r="AK34" s="5"/>
      <c r="AL34" s="5"/>
      <c r="AM34" s="5"/>
    </row>
    <row r="35" spans="1:39" ht="15.75" customHeight="1">
      <c r="A35" s="8"/>
      <c r="B35" s="8"/>
      <c r="C35" s="4"/>
      <c r="D35" s="4"/>
      <c r="E35" s="4"/>
      <c r="F35" s="4"/>
      <c r="G35" s="4"/>
      <c r="H35" s="4" t="str">
        <f>optionchain!$J$2&amp; " " &amp;oiFNO!$O35</f>
        <v>44896 15950</v>
      </c>
      <c r="I35" s="4"/>
      <c r="J35" s="23"/>
      <c r="K35" s="23"/>
      <c r="L35" s="23"/>
      <c r="M35" s="23"/>
      <c r="N35" s="23"/>
      <c r="O35" s="23">
        <v>15950</v>
      </c>
      <c r="P35" s="23"/>
      <c r="Q35" s="23"/>
      <c r="R35" s="23"/>
      <c r="S35" s="23"/>
      <c r="T35" s="23"/>
      <c r="V35" s="16"/>
      <c r="W35" s="4"/>
      <c r="X35" s="4"/>
      <c r="Y35" s="4"/>
      <c r="Z35" s="4"/>
      <c r="AA35" s="4"/>
      <c r="AB35" s="4"/>
      <c r="AC35" s="4">
        <f>IF(O34&gt;0,oiFNO!$O35-O34,"")</f>
        <v>50</v>
      </c>
      <c r="AD35" s="5">
        <f t="shared" si="2"/>
        <v>50</v>
      </c>
      <c r="AE35" s="5"/>
      <c r="AF35" s="5"/>
      <c r="AG35" s="5"/>
      <c r="AH35" s="5"/>
      <c r="AI35" s="5"/>
      <c r="AJ35" s="5"/>
      <c r="AK35" s="5"/>
      <c r="AL35" s="5"/>
      <c r="AM35" s="5"/>
    </row>
    <row r="36" spans="1:39" ht="15.75" customHeight="1">
      <c r="A36" s="8"/>
      <c r="B36" s="8"/>
      <c r="C36" s="4"/>
      <c r="D36" s="4"/>
      <c r="E36" s="4"/>
      <c r="F36" s="4"/>
      <c r="G36" s="4"/>
      <c r="H36" s="4" t="str">
        <f>optionchain!$J$2&amp; " " &amp;oiFNO!$O36</f>
        <v>44896 16000</v>
      </c>
      <c r="I36" s="4"/>
      <c r="J36" s="23">
        <v>2497</v>
      </c>
      <c r="K36" s="23">
        <v>35.049999999999997</v>
      </c>
      <c r="L36" s="23">
        <v>1100</v>
      </c>
      <c r="M36" s="23">
        <v>9450</v>
      </c>
      <c r="N36" s="23">
        <v>-1050</v>
      </c>
      <c r="O36" s="23">
        <v>16000</v>
      </c>
      <c r="P36" s="23">
        <v>0.7</v>
      </c>
      <c r="Q36" s="23">
        <v>-0.5</v>
      </c>
      <c r="R36" s="23">
        <v>1023150</v>
      </c>
      <c r="S36" s="23">
        <v>724150</v>
      </c>
      <c r="T36" s="23">
        <v>242750</v>
      </c>
      <c r="V36" s="16"/>
      <c r="W36" s="4"/>
      <c r="X36" s="4"/>
      <c r="Y36" s="4"/>
      <c r="Z36" s="4"/>
      <c r="AA36" s="4"/>
      <c r="AB36" s="4"/>
      <c r="AC36" s="4">
        <f>IF(O35&gt;0,oiFNO!$O36-O35,"")</f>
        <v>50</v>
      </c>
      <c r="AD36" s="5">
        <f t="shared" si="2"/>
        <v>50</v>
      </c>
      <c r="AE36" s="5"/>
      <c r="AF36" s="5"/>
      <c r="AG36" s="5"/>
      <c r="AH36" s="5"/>
      <c r="AI36" s="5"/>
      <c r="AJ36" s="5"/>
      <c r="AK36" s="5"/>
      <c r="AL36" s="5"/>
      <c r="AM36" s="5"/>
    </row>
    <row r="37" spans="1:39" ht="15.75" customHeight="1">
      <c r="A37" s="8"/>
      <c r="B37" s="8"/>
      <c r="C37" s="4"/>
      <c r="D37" s="4"/>
      <c r="E37" s="4"/>
      <c r="F37" s="4"/>
      <c r="G37" s="4"/>
      <c r="H37" s="4" t="str">
        <f>optionchain!$J$2&amp; " " &amp;oiFNO!$O37</f>
        <v>44896 16050</v>
      </c>
      <c r="I37" s="4"/>
      <c r="J37" s="23"/>
      <c r="K37" s="23"/>
      <c r="L37" s="23"/>
      <c r="M37" s="23"/>
      <c r="N37" s="23"/>
      <c r="O37" s="23">
        <v>16050</v>
      </c>
      <c r="P37" s="23">
        <v>0.85</v>
      </c>
      <c r="Q37" s="23">
        <v>-107.45</v>
      </c>
      <c r="R37" s="23">
        <v>600</v>
      </c>
      <c r="S37" s="23">
        <v>600</v>
      </c>
      <c r="T37" s="23">
        <v>600</v>
      </c>
      <c r="V37" s="16"/>
      <c r="W37" s="4"/>
      <c r="X37" s="4"/>
      <c r="Y37" s="4"/>
      <c r="Z37" s="4"/>
      <c r="AA37" s="4"/>
      <c r="AB37" s="4"/>
      <c r="AC37" s="4">
        <f>IF(O36&gt;0,oiFNO!$O37-O36,"")</f>
        <v>50</v>
      </c>
      <c r="AD37" s="5">
        <f t="shared" si="2"/>
        <v>50</v>
      </c>
      <c r="AE37" s="5"/>
      <c r="AF37" s="5"/>
      <c r="AG37" s="5"/>
      <c r="AH37" s="5"/>
      <c r="AI37" s="5"/>
      <c r="AJ37" s="5"/>
      <c r="AK37" s="5"/>
      <c r="AL37" s="5"/>
      <c r="AM37" s="5"/>
    </row>
    <row r="38" spans="1:39" ht="15.75" customHeight="1">
      <c r="A38" s="8"/>
      <c r="B38" s="8"/>
      <c r="C38" s="4"/>
      <c r="D38" s="4"/>
      <c r="E38" s="4"/>
      <c r="F38" s="4"/>
      <c r="G38" s="4"/>
      <c r="H38" s="4" t="str">
        <f>optionchain!$J$2&amp; " " &amp;oiFNO!$O38</f>
        <v>44896 16100</v>
      </c>
      <c r="I38" s="4"/>
      <c r="J38" s="23"/>
      <c r="K38" s="23"/>
      <c r="L38" s="23"/>
      <c r="M38" s="23"/>
      <c r="N38" s="23"/>
      <c r="O38" s="23">
        <v>16100</v>
      </c>
      <c r="P38" s="23">
        <v>0.7</v>
      </c>
      <c r="Q38" s="23">
        <v>-0.95</v>
      </c>
      <c r="R38" s="23">
        <v>9350</v>
      </c>
      <c r="S38" s="23">
        <v>2550</v>
      </c>
      <c r="T38" s="23">
        <v>2350</v>
      </c>
      <c r="V38" s="16"/>
      <c r="W38" s="4"/>
      <c r="X38" s="4"/>
      <c r="Y38" s="4"/>
      <c r="Z38" s="4"/>
      <c r="AA38" s="4"/>
      <c r="AB38" s="4"/>
      <c r="AC38" s="4">
        <f>IF(O37&gt;0,oiFNO!$O38-O37,"")</f>
        <v>50</v>
      </c>
      <c r="AD38" s="5">
        <f t="shared" si="2"/>
        <v>50</v>
      </c>
      <c r="AE38" s="5"/>
      <c r="AF38" s="5"/>
      <c r="AG38" s="5"/>
      <c r="AH38" s="5"/>
      <c r="AI38" s="5"/>
      <c r="AJ38" s="5"/>
      <c r="AK38" s="5"/>
      <c r="AL38" s="5"/>
      <c r="AM38" s="5"/>
    </row>
    <row r="39" spans="1:39" ht="15.75" customHeight="1">
      <c r="A39" s="8"/>
      <c r="B39" s="8"/>
      <c r="C39" s="4"/>
      <c r="D39" s="4"/>
      <c r="E39" s="4"/>
      <c r="F39" s="4"/>
      <c r="G39" s="4"/>
      <c r="H39" s="4" t="str">
        <f>optionchain!$J$2&amp; " " &amp;oiFNO!$O39</f>
        <v>44896 16150</v>
      </c>
      <c r="I39" s="4"/>
      <c r="J39" s="23"/>
      <c r="K39" s="23"/>
      <c r="L39" s="23"/>
      <c r="M39" s="23"/>
      <c r="N39" s="23"/>
      <c r="O39" s="23">
        <v>16150</v>
      </c>
      <c r="P39" s="23"/>
      <c r="Q39" s="23"/>
      <c r="R39" s="23"/>
      <c r="S39" s="23"/>
      <c r="T39" s="23"/>
      <c r="V39" s="16"/>
      <c r="W39" s="4"/>
      <c r="X39" s="4"/>
      <c r="Y39" s="4"/>
      <c r="Z39" s="4"/>
      <c r="AA39" s="4"/>
      <c r="AB39" s="4"/>
      <c r="AC39" s="4">
        <f>IF(O38&gt;0,oiFNO!$O39-O38,"")</f>
        <v>50</v>
      </c>
      <c r="AD39" s="5">
        <f t="shared" si="2"/>
        <v>50</v>
      </c>
      <c r="AE39" s="5"/>
      <c r="AF39" s="5"/>
      <c r="AG39" s="5"/>
      <c r="AH39" s="5"/>
      <c r="AI39" s="5"/>
      <c r="AJ39" s="5"/>
      <c r="AK39" s="5"/>
      <c r="AL39" s="5"/>
      <c r="AM39" s="5"/>
    </row>
    <row r="40" spans="1:39" ht="15.75" customHeight="1">
      <c r="A40" s="8"/>
      <c r="B40" s="8"/>
      <c r="C40" s="4"/>
      <c r="D40" s="4"/>
      <c r="E40" s="4"/>
      <c r="F40" s="4"/>
      <c r="G40" s="4"/>
      <c r="H40" s="4" t="str">
        <f>optionchain!$J$2&amp; " " &amp;oiFNO!$O40</f>
        <v>44896 16200</v>
      </c>
      <c r="I40" s="4"/>
      <c r="J40" s="23">
        <v>2150</v>
      </c>
      <c r="K40" s="23"/>
      <c r="L40" s="23"/>
      <c r="M40" s="23">
        <v>1000</v>
      </c>
      <c r="N40" s="23"/>
      <c r="O40" s="23">
        <v>16200</v>
      </c>
      <c r="P40" s="23">
        <v>0.85</v>
      </c>
      <c r="Q40" s="23">
        <v>-0.6</v>
      </c>
      <c r="R40" s="23">
        <v>9250</v>
      </c>
      <c r="S40" s="23">
        <v>9300</v>
      </c>
      <c r="T40" s="23">
        <v>2100</v>
      </c>
      <c r="V40" s="16"/>
      <c r="W40" s="4"/>
      <c r="X40" s="4"/>
      <c r="Y40" s="4"/>
      <c r="Z40" s="4"/>
      <c r="AA40" s="4"/>
      <c r="AB40" s="4"/>
      <c r="AC40" s="4">
        <f>IF(O39&gt;0,oiFNO!$O40-O39,"")</f>
        <v>50</v>
      </c>
      <c r="AD40" s="5">
        <f t="shared" si="2"/>
        <v>50</v>
      </c>
      <c r="AE40" s="5"/>
      <c r="AF40" s="5"/>
      <c r="AG40" s="5"/>
      <c r="AH40" s="5"/>
      <c r="AI40" s="5"/>
      <c r="AJ40" s="5"/>
      <c r="AK40" s="5"/>
      <c r="AL40" s="5"/>
      <c r="AM40" s="5"/>
    </row>
    <row r="41" spans="1:39" ht="15.75" customHeight="1">
      <c r="A41" s="8"/>
      <c r="B41" s="8"/>
      <c r="C41" s="4"/>
      <c r="D41" s="4"/>
      <c r="E41" s="4"/>
      <c r="F41" s="4"/>
      <c r="G41" s="4"/>
      <c r="H41" s="4" t="str">
        <f>optionchain!$J$2&amp; " " &amp;oiFNO!$O41</f>
        <v>44896 16250</v>
      </c>
      <c r="I41" s="4"/>
      <c r="J41" s="23"/>
      <c r="K41" s="23"/>
      <c r="L41" s="23"/>
      <c r="M41" s="23"/>
      <c r="N41" s="23"/>
      <c r="O41" s="23">
        <v>16250</v>
      </c>
      <c r="P41" s="23">
        <v>2</v>
      </c>
      <c r="Q41" s="23"/>
      <c r="R41" s="23"/>
      <c r="S41" s="23"/>
      <c r="T41" s="23"/>
      <c r="V41" s="4"/>
      <c r="W41" s="4"/>
      <c r="X41" s="4"/>
      <c r="Y41" s="4"/>
      <c r="Z41" s="4"/>
      <c r="AA41" s="4"/>
      <c r="AB41" s="4"/>
      <c r="AC41" s="4">
        <f>IF(O40&gt;0,oiFNO!$O41-O40,"")</f>
        <v>50</v>
      </c>
      <c r="AD41" s="5">
        <f t="shared" si="2"/>
        <v>50</v>
      </c>
      <c r="AE41" s="5"/>
      <c r="AF41" s="5"/>
      <c r="AG41" s="5"/>
      <c r="AH41" s="5"/>
      <c r="AI41" s="5"/>
      <c r="AJ41" s="5"/>
      <c r="AK41" s="5"/>
      <c r="AL41" s="5"/>
      <c r="AM41" s="5"/>
    </row>
    <row r="42" spans="1:39" ht="15.75" customHeight="1">
      <c r="A42" s="8"/>
      <c r="B42" s="8"/>
      <c r="C42" s="4"/>
      <c r="D42" s="4"/>
      <c r="E42" s="4"/>
      <c r="F42" s="4"/>
      <c r="G42" s="4"/>
      <c r="H42" s="4" t="str">
        <f>optionchain!$J$2&amp; " " &amp;oiFNO!$O42</f>
        <v>44896 16300</v>
      </c>
      <c r="I42" s="4"/>
      <c r="J42" s="23">
        <v>2015</v>
      </c>
      <c r="K42" s="23"/>
      <c r="L42" s="23"/>
      <c r="M42" s="23">
        <v>3000</v>
      </c>
      <c r="N42" s="23"/>
      <c r="O42" s="23">
        <v>16300</v>
      </c>
      <c r="P42" s="23">
        <v>0.8</v>
      </c>
      <c r="Q42" s="23">
        <v>-0.5</v>
      </c>
      <c r="R42" s="23">
        <v>21650</v>
      </c>
      <c r="S42" s="23">
        <v>10800</v>
      </c>
      <c r="T42" s="23">
        <v>2450</v>
      </c>
      <c r="V42" s="4"/>
      <c r="W42" s="4"/>
      <c r="X42" s="4"/>
      <c r="Y42" s="4"/>
      <c r="Z42" s="4"/>
      <c r="AA42" s="4"/>
      <c r="AB42" s="4"/>
      <c r="AC42" s="4" t="str">
        <f>IF(O117&gt;0,oiFNO!$O42-O117,"")</f>
        <v/>
      </c>
      <c r="AD42" s="5" t="str">
        <f t="shared" si="2"/>
        <v/>
      </c>
      <c r="AE42" s="5"/>
      <c r="AF42" s="5"/>
      <c r="AG42" s="5"/>
      <c r="AH42" s="5"/>
      <c r="AI42" s="5"/>
      <c r="AJ42" s="5"/>
      <c r="AK42" s="5"/>
      <c r="AL42" s="5"/>
      <c r="AM42" s="5"/>
    </row>
    <row r="43" spans="1:39" ht="15.75" customHeight="1">
      <c r="A43" s="8"/>
      <c r="B43" s="8"/>
      <c r="C43" s="4"/>
      <c r="D43" s="4"/>
      <c r="E43" s="4"/>
      <c r="F43" s="4"/>
      <c r="G43" s="4"/>
      <c r="H43" s="4" t="str">
        <f>optionchain!$J$2&amp; " " &amp;oiFNO!$O43</f>
        <v>44896 16350</v>
      </c>
      <c r="I43" s="4"/>
      <c r="J43" s="23">
        <v>2110</v>
      </c>
      <c r="K43" s="23"/>
      <c r="L43" s="23"/>
      <c r="M43" s="23">
        <v>500</v>
      </c>
      <c r="N43" s="23"/>
      <c r="O43" s="23">
        <v>16350</v>
      </c>
      <c r="P43" s="23"/>
      <c r="Q43" s="23"/>
      <c r="R43" s="23"/>
      <c r="S43" s="23"/>
      <c r="T43" s="23"/>
      <c r="V43" s="4"/>
      <c r="W43" s="4"/>
      <c r="X43" s="4"/>
      <c r="Y43" s="4"/>
      <c r="Z43" s="4"/>
      <c r="AA43" s="4"/>
      <c r="AB43" s="4"/>
      <c r="AC43" s="4" t="str">
        <f>IF(O118&gt;0,oiFNO!$O43-O118,"")</f>
        <v/>
      </c>
      <c r="AD43" s="5" t="str">
        <f t="shared" si="2"/>
        <v/>
      </c>
      <c r="AE43" s="5"/>
      <c r="AF43" s="5"/>
      <c r="AG43" s="5"/>
      <c r="AH43" s="5"/>
      <c r="AI43" s="5"/>
      <c r="AJ43" s="5"/>
      <c r="AK43" s="5"/>
      <c r="AL43" s="5"/>
      <c r="AM43" s="5"/>
    </row>
    <row r="44" spans="1:39" ht="15.75" customHeight="1">
      <c r="A44" s="8"/>
      <c r="B44" s="8"/>
      <c r="C44" s="4"/>
      <c r="D44" s="4"/>
      <c r="E44" s="4"/>
      <c r="F44" s="4"/>
      <c r="G44" s="4"/>
      <c r="H44" s="4" t="str">
        <f>optionchain!$J$2&amp; " " &amp;oiFNO!$O44</f>
        <v>44896 16400</v>
      </c>
      <c r="I44" s="4"/>
      <c r="J44" s="23">
        <v>1865</v>
      </c>
      <c r="K44" s="23"/>
      <c r="L44" s="23"/>
      <c r="M44" s="23">
        <v>150</v>
      </c>
      <c r="N44" s="23"/>
      <c r="O44" s="23">
        <v>16400</v>
      </c>
      <c r="P44" s="23">
        <v>1.1499999999999999</v>
      </c>
      <c r="Q44" s="23">
        <v>-0.2</v>
      </c>
      <c r="R44" s="23">
        <v>63400</v>
      </c>
      <c r="S44" s="23">
        <v>24800</v>
      </c>
      <c r="T44" s="23">
        <v>18900</v>
      </c>
      <c r="V44" s="4"/>
      <c r="W44" s="4"/>
      <c r="X44" s="4"/>
      <c r="Y44" s="4"/>
      <c r="Z44" s="4"/>
      <c r="AA44" s="4"/>
      <c r="AB44" s="4"/>
      <c r="AC44" s="4" t="str">
        <f>IF(O119&gt;0,oiFNO!$O44-O119,"")</f>
        <v/>
      </c>
      <c r="AD44" s="5" t="str">
        <f t="shared" si="2"/>
        <v/>
      </c>
      <c r="AE44" s="5"/>
      <c r="AF44" s="5"/>
      <c r="AG44" s="5"/>
      <c r="AH44" s="5"/>
      <c r="AI44" s="5"/>
      <c r="AJ44" s="5"/>
      <c r="AK44" s="5"/>
      <c r="AL44" s="5"/>
      <c r="AM44" s="5"/>
    </row>
    <row r="45" spans="1:39" ht="15.75" customHeight="1">
      <c r="A45" s="8"/>
      <c r="B45" s="8"/>
      <c r="C45" s="4"/>
      <c r="D45" s="4"/>
      <c r="E45" s="4"/>
      <c r="F45" s="4"/>
      <c r="G45" s="4"/>
      <c r="H45" s="4" t="str">
        <f>optionchain!$J$2&amp; " " &amp;oiFNO!$O45</f>
        <v>44896 16450</v>
      </c>
      <c r="I45" s="4"/>
      <c r="J45" s="23"/>
      <c r="K45" s="23"/>
      <c r="L45" s="23"/>
      <c r="M45" s="23"/>
      <c r="N45" s="23"/>
      <c r="O45" s="23">
        <v>16450</v>
      </c>
      <c r="P45" s="23"/>
      <c r="Q45" s="23"/>
      <c r="R45" s="23"/>
      <c r="S45" s="23"/>
      <c r="T45" s="23"/>
      <c r="V45" s="4"/>
      <c r="W45" s="4"/>
      <c r="X45" s="4"/>
      <c r="Y45" s="4"/>
      <c r="Z45" s="4"/>
      <c r="AA45" s="4"/>
      <c r="AB45" s="4"/>
      <c r="AC45" s="4" t="str">
        <f>IF(O120&gt;0,oiFNO!$O45-O120,"")</f>
        <v/>
      </c>
      <c r="AD45" s="5" t="str">
        <f t="shared" si="2"/>
        <v/>
      </c>
      <c r="AE45" s="5"/>
      <c r="AF45" s="5"/>
      <c r="AG45" s="5"/>
      <c r="AH45" s="5"/>
      <c r="AI45" s="5"/>
      <c r="AJ45" s="5"/>
      <c r="AK45" s="5"/>
      <c r="AL45" s="5"/>
      <c r="AM45" s="5"/>
    </row>
    <row r="46" spans="1:39" ht="15.75" customHeight="1">
      <c r="A46" s="8"/>
      <c r="B46" s="8"/>
      <c r="C46" s="4"/>
      <c r="D46" s="4"/>
      <c r="E46" s="4"/>
      <c r="F46" s="4"/>
      <c r="G46" s="4"/>
      <c r="H46" s="4" t="str">
        <f>optionchain!$J$2&amp; " " &amp;oiFNO!$O46</f>
        <v>44896 16500</v>
      </c>
      <c r="I46" s="4"/>
      <c r="J46" s="23">
        <v>1980</v>
      </c>
      <c r="K46" s="23">
        <v>74.05</v>
      </c>
      <c r="L46" s="23">
        <v>1100</v>
      </c>
      <c r="M46" s="23">
        <v>11550</v>
      </c>
      <c r="N46" s="23">
        <v>-1050</v>
      </c>
      <c r="O46" s="23">
        <v>16500</v>
      </c>
      <c r="P46" s="23">
        <v>1</v>
      </c>
      <c r="Q46" s="23">
        <v>-0.55000000000000004</v>
      </c>
      <c r="R46" s="23">
        <v>2857300</v>
      </c>
      <c r="S46" s="23">
        <v>1330050</v>
      </c>
      <c r="T46" s="23">
        <v>611550</v>
      </c>
      <c r="V46" s="4"/>
      <c r="W46" s="4"/>
      <c r="X46" s="4"/>
      <c r="Y46" s="4"/>
      <c r="Z46" s="4"/>
      <c r="AA46" s="4"/>
      <c r="AB46" s="4"/>
      <c r="AC46" s="4" t="str">
        <f>IF(O121&gt;0,oiFNO!$O46-O121,"")</f>
        <v/>
      </c>
      <c r="AD46" s="5" t="str">
        <f t="shared" si="2"/>
        <v/>
      </c>
      <c r="AE46" s="5"/>
      <c r="AF46" s="5"/>
      <c r="AG46" s="5"/>
      <c r="AH46" s="5"/>
      <c r="AI46" s="5"/>
      <c r="AJ46" s="5"/>
      <c r="AK46" s="5"/>
      <c r="AL46" s="5"/>
      <c r="AM46" s="5"/>
    </row>
    <row r="47" spans="1:39" ht="15.75" customHeight="1">
      <c r="A47" s="8"/>
      <c r="B47" s="8"/>
      <c r="C47" s="4"/>
      <c r="D47" s="4"/>
      <c r="E47" s="4"/>
      <c r="F47" s="4"/>
      <c r="G47" s="4"/>
      <c r="H47" s="4" t="str">
        <f>optionchain!$J$2&amp; " " &amp;oiFNO!$O47</f>
        <v>44896 16550</v>
      </c>
      <c r="I47" s="4"/>
      <c r="J47" s="23"/>
      <c r="K47" s="23"/>
      <c r="L47" s="23"/>
      <c r="M47" s="23"/>
      <c r="N47" s="23"/>
      <c r="O47" s="23">
        <v>16550</v>
      </c>
      <c r="P47" s="23">
        <v>0.9</v>
      </c>
      <c r="Q47" s="23">
        <v>-1.05</v>
      </c>
      <c r="R47" s="23">
        <v>17050</v>
      </c>
      <c r="S47" s="23">
        <v>1250</v>
      </c>
      <c r="T47" s="23">
        <v>400</v>
      </c>
      <c r="V47" s="4"/>
      <c r="W47" s="4"/>
      <c r="X47" s="4"/>
      <c r="Y47" s="4"/>
      <c r="Z47" s="4"/>
      <c r="AA47" s="4"/>
      <c r="AB47" s="4"/>
      <c r="AC47" s="4" t="str">
        <f>IF(O122&gt;0,oiFNO!$O47-O122,"")</f>
        <v/>
      </c>
      <c r="AD47" s="5" t="str">
        <f t="shared" si="2"/>
        <v/>
      </c>
      <c r="AE47" s="5"/>
      <c r="AF47" s="5"/>
      <c r="AG47" s="5"/>
      <c r="AH47" s="5"/>
      <c r="AI47" s="5"/>
      <c r="AJ47" s="5"/>
      <c r="AK47" s="5"/>
      <c r="AL47" s="5"/>
      <c r="AM47" s="5"/>
    </row>
    <row r="48" spans="1:39" ht="15.75" customHeight="1">
      <c r="A48" s="8"/>
      <c r="B48" s="8"/>
      <c r="C48" s="4"/>
      <c r="D48" s="4"/>
      <c r="E48" s="4"/>
      <c r="F48" s="4"/>
      <c r="G48" s="4"/>
      <c r="H48" s="4" t="str">
        <f>optionchain!$J$2&amp; " " &amp;oiFNO!$O48</f>
        <v>44896 16600</v>
      </c>
      <c r="I48" s="4"/>
      <c r="J48" s="23"/>
      <c r="K48" s="23"/>
      <c r="L48" s="23"/>
      <c r="M48" s="23"/>
      <c r="N48" s="23"/>
      <c r="O48" s="23">
        <v>16600</v>
      </c>
      <c r="P48" s="23">
        <v>1</v>
      </c>
      <c r="Q48" s="23">
        <v>-0.65</v>
      </c>
      <c r="R48" s="23">
        <v>64350</v>
      </c>
      <c r="S48" s="23">
        <v>21700</v>
      </c>
      <c r="T48" s="23">
        <v>2850</v>
      </c>
      <c r="V48" s="4"/>
      <c r="W48" s="4"/>
      <c r="X48" s="4"/>
      <c r="Y48" s="4"/>
      <c r="Z48" s="4"/>
      <c r="AA48" s="4"/>
      <c r="AB48" s="4"/>
      <c r="AC48" s="4" t="str">
        <f>IF(O123&gt;0,oiFNO!$O48-O123,"")</f>
        <v/>
      </c>
      <c r="AD48" s="5" t="str">
        <f t="shared" si="2"/>
        <v/>
      </c>
      <c r="AE48" s="5"/>
      <c r="AF48" s="5"/>
      <c r="AG48" s="5"/>
      <c r="AH48" s="5"/>
      <c r="AI48" s="5"/>
      <c r="AJ48" s="5"/>
      <c r="AK48" s="5"/>
      <c r="AL48" s="5"/>
      <c r="AM48" s="5"/>
    </row>
    <row r="49" spans="1:39" ht="15.75" customHeight="1">
      <c r="A49" s="8"/>
      <c r="B49" s="8"/>
      <c r="C49" s="4"/>
      <c r="D49" s="4"/>
      <c r="E49" s="4"/>
      <c r="F49" s="4"/>
      <c r="G49" s="4"/>
      <c r="H49" s="4" t="str">
        <f>optionchain!$J$2&amp; " " &amp;oiFNO!$O49</f>
        <v>44896 16650</v>
      </c>
      <c r="I49" s="4"/>
      <c r="J49" s="23"/>
      <c r="K49" s="23"/>
      <c r="L49" s="23"/>
      <c r="M49" s="23"/>
      <c r="N49" s="23"/>
      <c r="O49" s="23">
        <v>16650</v>
      </c>
      <c r="P49" s="23">
        <v>1</v>
      </c>
      <c r="Q49" s="23">
        <v>-1.1000000000000001</v>
      </c>
      <c r="R49" s="23">
        <v>11750</v>
      </c>
      <c r="S49" s="23">
        <v>4700</v>
      </c>
      <c r="T49" s="23">
        <v>3600</v>
      </c>
      <c r="V49" s="4"/>
      <c r="W49" s="4"/>
      <c r="X49" s="4"/>
      <c r="Y49" s="4"/>
      <c r="Z49" s="4"/>
      <c r="AA49" s="4"/>
      <c r="AB49" s="4"/>
      <c r="AC49" s="4" t="str">
        <f>IF(O124&gt;0,oiFNO!$O49-O124,"")</f>
        <v/>
      </c>
      <c r="AD49" s="5" t="str">
        <f t="shared" si="2"/>
        <v/>
      </c>
      <c r="AE49" s="5"/>
      <c r="AF49" s="5"/>
      <c r="AG49" s="5"/>
      <c r="AH49" s="5"/>
      <c r="AI49" s="5"/>
      <c r="AJ49" s="5"/>
      <c r="AK49" s="5"/>
      <c r="AL49" s="5"/>
      <c r="AM49" s="5"/>
    </row>
    <row r="50" spans="1:39" ht="15.75" customHeight="1">
      <c r="A50" s="8"/>
      <c r="B50" s="8"/>
      <c r="C50" s="4"/>
      <c r="D50" s="4"/>
      <c r="E50" s="4"/>
      <c r="F50" s="4"/>
      <c r="G50" s="4"/>
      <c r="H50" s="4" t="str">
        <f>optionchain!$J$2&amp; " " &amp;oiFNO!$O50</f>
        <v>44896 16700</v>
      </c>
      <c r="I50" s="4"/>
      <c r="J50" s="23">
        <v>1706.55</v>
      </c>
      <c r="K50" s="23"/>
      <c r="L50" s="23"/>
      <c r="M50" s="23">
        <v>5100</v>
      </c>
      <c r="N50" s="23"/>
      <c r="O50" s="23">
        <v>16700</v>
      </c>
      <c r="P50" s="23">
        <v>1.25</v>
      </c>
      <c r="Q50" s="23">
        <v>-0.45</v>
      </c>
      <c r="R50" s="23">
        <v>71600</v>
      </c>
      <c r="S50" s="23">
        <v>49050</v>
      </c>
      <c r="T50" s="23">
        <v>-2650</v>
      </c>
      <c r="V50" s="4"/>
      <c r="W50" s="4"/>
      <c r="X50" s="4"/>
      <c r="Y50" s="4"/>
      <c r="Z50" s="4"/>
      <c r="AA50" s="4"/>
      <c r="AB50" s="4"/>
      <c r="AC50" s="4" t="str">
        <f>IF(O125&gt;0,oiFNO!$O50-O125,"")</f>
        <v/>
      </c>
      <c r="AD50" s="5" t="str">
        <f t="shared" si="2"/>
        <v/>
      </c>
      <c r="AE50" s="5"/>
      <c r="AF50" s="5"/>
      <c r="AG50" s="5"/>
      <c r="AH50" s="5"/>
      <c r="AI50" s="5"/>
      <c r="AJ50" s="5"/>
      <c r="AK50" s="5"/>
      <c r="AL50" s="5"/>
      <c r="AM50" s="5"/>
    </row>
    <row r="51" spans="1:39" ht="15.75" customHeight="1">
      <c r="A51" s="8"/>
      <c r="B51" s="8"/>
      <c r="C51" s="4"/>
      <c r="D51" s="4"/>
      <c r="E51" s="4"/>
      <c r="F51" s="4"/>
      <c r="G51" s="4"/>
      <c r="H51" s="4" t="str">
        <f>optionchain!$J$2&amp; " " &amp;oiFNO!$O51</f>
        <v>44896 16750</v>
      </c>
      <c r="I51" s="4"/>
      <c r="J51" s="23">
        <v>1627.4</v>
      </c>
      <c r="K51" s="23"/>
      <c r="L51" s="23"/>
      <c r="M51" s="23">
        <v>1050</v>
      </c>
      <c r="N51" s="23"/>
      <c r="O51" s="23">
        <v>16750</v>
      </c>
      <c r="P51" s="23">
        <v>1</v>
      </c>
      <c r="Q51" s="23">
        <v>-1</v>
      </c>
      <c r="R51" s="23">
        <v>17350</v>
      </c>
      <c r="S51" s="23">
        <v>7150</v>
      </c>
      <c r="T51" s="23">
        <v>1750</v>
      </c>
      <c r="V51" s="4"/>
      <c r="W51" s="4"/>
      <c r="X51" s="4"/>
      <c r="Y51" s="4"/>
      <c r="Z51" s="4"/>
      <c r="AA51" s="4"/>
      <c r="AB51" s="4"/>
      <c r="AC51" s="4" t="str">
        <f>IF(O126&gt;0,oiFNO!$O51-O126,"")</f>
        <v/>
      </c>
      <c r="AD51" s="5" t="str">
        <f t="shared" si="2"/>
        <v/>
      </c>
      <c r="AE51" s="5"/>
      <c r="AF51" s="5"/>
      <c r="AG51" s="5"/>
      <c r="AH51" s="5"/>
      <c r="AI51" s="5"/>
      <c r="AJ51" s="5"/>
      <c r="AK51" s="5"/>
      <c r="AL51" s="5"/>
      <c r="AM51" s="5"/>
    </row>
    <row r="52" spans="1:39" ht="15.75" customHeight="1">
      <c r="A52" s="8"/>
      <c r="B52" s="8"/>
      <c r="C52" s="4"/>
      <c r="D52" s="4"/>
      <c r="E52" s="4"/>
      <c r="F52" s="4"/>
      <c r="G52" s="4"/>
      <c r="H52" s="4" t="str">
        <f>optionchain!$J$2&amp; " " &amp;oiFNO!$O52</f>
        <v>44896 16800</v>
      </c>
      <c r="I52" s="4"/>
      <c r="J52" s="23">
        <v>1682.6</v>
      </c>
      <c r="K52" s="23">
        <v>85.55</v>
      </c>
      <c r="L52" s="23">
        <v>100</v>
      </c>
      <c r="M52" s="23">
        <v>4000</v>
      </c>
      <c r="N52" s="23"/>
      <c r="O52" s="23">
        <v>16800</v>
      </c>
      <c r="P52" s="23">
        <v>1.2</v>
      </c>
      <c r="Q52" s="23">
        <v>-0.6</v>
      </c>
      <c r="R52" s="23">
        <v>366350</v>
      </c>
      <c r="S52" s="23">
        <v>338550</v>
      </c>
      <c r="T52" s="23">
        <v>-10200</v>
      </c>
      <c r="V52" s="4"/>
      <c r="W52" s="4"/>
      <c r="X52" s="4"/>
      <c r="Y52" s="4"/>
      <c r="Z52" s="4"/>
      <c r="AA52" s="4"/>
      <c r="AB52" s="4"/>
      <c r="AC52" s="4" t="str">
        <f>IF(O127&gt;0,oiFNO!$O52-O127,"")</f>
        <v/>
      </c>
      <c r="AD52" s="5" t="str">
        <f t="shared" si="2"/>
        <v/>
      </c>
      <c r="AE52" s="5"/>
      <c r="AF52" s="5"/>
      <c r="AG52" s="5"/>
      <c r="AH52" s="5"/>
      <c r="AI52" s="5"/>
      <c r="AJ52" s="5"/>
      <c r="AK52" s="5"/>
      <c r="AL52" s="5"/>
      <c r="AM52" s="5"/>
    </row>
    <row r="53" spans="1:39" ht="15.75" customHeight="1">
      <c r="A53" s="8"/>
      <c r="B53" s="8"/>
      <c r="C53" s="4"/>
      <c r="D53" s="4"/>
      <c r="E53" s="4"/>
      <c r="F53" s="4"/>
      <c r="G53" s="4"/>
      <c r="H53" s="4" t="str">
        <f>optionchain!$J$2&amp; " " &amp;oiFNO!$O53</f>
        <v>44896 16850</v>
      </c>
      <c r="I53" s="4"/>
      <c r="J53" s="23">
        <v>1580</v>
      </c>
      <c r="K53" s="23"/>
      <c r="L53" s="23"/>
      <c r="M53" s="23">
        <v>1000</v>
      </c>
      <c r="N53" s="23"/>
      <c r="O53" s="23">
        <v>16850</v>
      </c>
      <c r="P53" s="23">
        <v>1.2</v>
      </c>
      <c r="Q53" s="23">
        <v>-0.8</v>
      </c>
      <c r="R53" s="23">
        <v>22550</v>
      </c>
      <c r="S53" s="23">
        <v>5500</v>
      </c>
      <c r="T53" s="23">
        <v>2050</v>
      </c>
      <c r="V53" s="4"/>
      <c r="W53" s="4"/>
      <c r="X53" s="4"/>
      <c r="Y53" s="4"/>
      <c r="Z53" s="4"/>
      <c r="AA53" s="4"/>
      <c r="AB53" s="4"/>
      <c r="AC53" s="4" t="str">
        <f>IF(O128&gt;0,oiFNO!$O53-O128,"")</f>
        <v/>
      </c>
      <c r="AD53" s="5" t="str">
        <f t="shared" si="2"/>
        <v/>
      </c>
      <c r="AE53" s="5"/>
      <c r="AF53" s="5"/>
      <c r="AG53" s="5"/>
      <c r="AH53" s="5"/>
      <c r="AI53" s="5"/>
      <c r="AJ53" s="5"/>
      <c r="AK53" s="5"/>
      <c r="AL53" s="5"/>
      <c r="AM53" s="5"/>
    </row>
    <row r="54" spans="1:39" ht="15.75" customHeight="1">
      <c r="A54" s="8"/>
      <c r="B54" s="8"/>
      <c r="C54" s="4"/>
      <c r="D54" s="4"/>
      <c r="E54" s="4"/>
      <c r="F54" s="4"/>
      <c r="G54" s="4"/>
      <c r="H54" s="4" t="str">
        <f>optionchain!$J$2&amp; " " &amp;oiFNO!$O54</f>
        <v>44896 16900</v>
      </c>
      <c r="I54" s="4"/>
      <c r="J54" s="23">
        <v>1474.7</v>
      </c>
      <c r="K54" s="23"/>
      <c r="L54" s="23"/>
      <c r="M54" s="23">
        <v>1250</v>
      </c>
      <c r="N54" s="23"/>
      <c r="O54" s="23">
        <v>16900</v>
      </c>
      <c r="P54" s="23">
        <v>1.1000000000000001</v>
      </c>
      <c r="Q54" s="23">
        <v>-0.9</v>
      </c>
      <c r="R54" s="23">
        <v>406100</v>
      </c>
      <c r="S54" s="23">
        <v>160450</v>
      </c>
      <c r="T54" s="23">
        <v>43150</v>
      </c>
      <c r="V54" s="4"/>
      <c r="W54" s="4"/>
      <c r="X54" s="4"/>
      <c r="Y54" s="4"/>
      <c r="Z54" s="4"/>
      <c r="AA54" s="4"/>
      <c r="AB54" s="4"/>
      <c r="AC54" s="4" t="str">
        <f>IF(O129&gt;0,oiFNO!$O54-O129,"")</f>
        <v/>
      </c>
      <c r="AD54" s="5" t="str">
        <f t="shared" si="2"/>
        <v/>
      </c>
      <c r="AE54" s="5"/>
      <c r="AF54" s="5"/>
      <c r="AG54" s="5"/>
      <c r="AH54" s="5"/>
      <c r="AI54" s="5"/>
      <c r="AJ54" s="5"/>
      <c r="AK54" s="5"/>
      <c r="AL54" s="5"/>
      <c r="AM54" s="5"/>
    </row>
    <row r="55" spans="1:39" ht="15.75" customHeight="1">
      <c r="A55" s="8"/>
      <c r="B55" s="8"/>
      <c r="C55" s="4"/>
      <c r="D55" s="4"/>
      <c r="E55" s="4"/>
      <c r="F55" s="4"/>
      <c r="G55" s="4"/>
      <c r="H55" s="4" t="str">
        <f>optionchain!$J$2&amp; " " &amp;oiFNO!$O55</f>
        <v>44896 16950</v>
      </c>
      <c r="I55" s="4"/>
      <c r="J55" s="23"/>
      <c r="K55" s="23"/>
      <c r="L55" s="23"/>
      <c r="M55" s="23"/>
      <c r="N55" s="23"/>
      <c r="O55" s="23">
        <v>16950</v>
      </c>
      <c r="P55" s="23">
        <v>1.45</v>
      </c>
      <c r="Q55" s="23">
        <v>-1</v>
      </c>
      <c r="R55" s="23">
        <v>28700</v>
      </c>
      <c r="S55" s="23">
        <v>7300</v>
      </c>
      <c r="T55" s="23">
        <v>-3950</v>
      </c>
      <c r="V55" s="4"/>
      <c r="W55" s="4"/>
      <c r="X55" s="4"/>
      <c r="Y55" s="4"/>
      <c r="Z55" s="4"/>
      <c r="AA55" s="4"/>
      <c r="AB55" s="4"/>
      <c r="AC55" s="4" t="str">
        <f>IF(O130&gt;0,oiFNO!$O55-O130,"")</f>
        <v/>
      </c>
      <c r="AD55" s="5" t="str">
        <f t="shared" si="2"/>
        <v/>
      </c>
      <c r="AE55" s="5"/>
      <c r="AF55" s="5"/>
      <c r="AG55" s="5"/>
      <c r="AH55" s="5"/>
      <c r="AI55" s="5"/>
      <c r="AJ55" s="5"/>
      <c r="AK55" s="5"/>
      <c r="AL55" s="5"/>
      <c r="AM55" s="5"/>
    </row>
    <row r="56" spans="1:39" ht="15.75" customHeight="1">
      <c r="A56" s="8"/>
      <c r="B56" s="8"/>
      <c r="C56" s="4"/>
      <c r="D56" s="4"/>
      <c r="E56" s="4"/>
      <c r="F56" s="4"/>
      <c r="G56" s="4"/>
      <c r="H56" s="4" t="str">
        <f>optionchain!$J$2&amp; " " &amp;oiFNO!$O56</f>
        <v>44896 17000</v>
      </c>
      <c r="I56" s="4"/>
      <c r="J56" s="23">
        <v>1532.3</v>
      </c>
      <c r="K56" s="23">
        <v>24.35</v>
      </c>
      <c r="L56" s="23">
        <v>22900</v>
      </c>
      <c r="M56" s="23">
        <v>46600</v>
      </c>
      <c r="N56" s="23">
        <v>-3000</v>
      </c>
      <c r="O56" s="23">
        <v>17000</v>
      </c>
      <c r="P56" s="23">
        <v>1.45</v>
      </c>
      <c r="Q56" s="23">
        <v>-0.85</v>
      </c>
      <c r="R56" s="23">
        <v>8089400</v>
      </c>
      <c r="S56" s="23">
        <v>3218550</v>
      </c>
      <c r="T56" s="23">
        <v>-295350</v>
      </c>
      <c r="V56" s="4"/>
      <c r="W56" s="4"/>
      <c r="X56" s="4"/>
      <c r="Y56" s="4"/>
      <c r="Z56" s="4"/>
      <c r="AA56" s="4"/>
      <c r="AB56" s="4"/>
      <c r="AC56" s="4" t="str">
        <f>IF(O131&gt;0,oiFNO!$O56-O131,"")</f>
        <v/>
      </c>
      <c r="AD56" s="5" t="str">
        <f t="shared" si="2"/>
        <v/>
      </c>
      <c r="AE56" s="5"/>
      <c r="AF56" s="5"/>
      <c r="AG56" s="5"/>
      <c r="AH56" s="5"/>
      <c r="AI56" s="5"/>
      <c r="AJ56" s="5"/>
      <c r="AK56" s="5"/>
      <c r="AL56" s="5"/>
      <c r="AM56" s="5"/>
    </row>
    <row r="57" spans="1:39" ht="15.75" customHeight="1">
      <c r="A57" s="8"/>
      <c r="B57" s="8"/>
      <c r="C57" s="4"/>
      <c r="D57" s="4"/>
      <c r="E57" s="4"/>
      <c r="F57" s="4"/>
      <c r="G57" s="4"/>
      <c r="H57" s="4" t="str">
        <f>optionchain!$J$2&amp; " " &amp;oiFNO!$O57</f>
        <v>44896 17050</v>
      </c>
      <c r="I57" s="4"/>
      <c r="J57" s="23"/>
      <c r="K57" s="23"/>
      <c r="L57" s="23"/>
      <c r="M57" s="23"/>
      <c r="N57" s="23"/>
      <c r="O57" s="23">
        <v>17050</v>
      </c>
      <c r="P57" s="23">
        <v>1.35</v>
      </c>
      <c r="Q57" s="23">
        <v>-0.9</v>
      </c>
      <c r="R57" s="23">
        <v>365700</v>
      </c>
      <c r="S57" s="23">
        <v>17300</v>
      </c>
      <c r="T57" s="23">
        <v>5700</v>
      </c>
      <c r="V57" s="4"/>
      <c r="W57" s="4"/>
      <c r="X57" s="4"/>
      <c r="Y57" s="4"/>
      <c r="Z57" s="4"/>
      <c r="AA57" s="4"/>
      <c r="AB57" s="4"/>
      <c r="AC57" s="4" t="str">
        <f>IF(O132&gt;0,oiFNO!$O57-O132,"")</f>
        <v/>
      </c>
      <c r="AD57" s="5" t="str">
        <f t="shared" si="2"/>
        <v/>
      </c>
      <c r="AE57" s="5"/>
      <c r="AF57" s="5"/>
      <c r="AG57" s="5"/>
      <c r="AH57" s="5"/>
      <c r="AI57" s="5"/>
      <c r="AJ57" s="5"/>
      <c r="AK57" s="5"/>
      <c r="AL57" s="5"/>
      <c r="AM57" s="5"/>
    </row>
    <row r="58" spans="1:39" ht="15.75" customHeight="1">
      <c r="A58" s="8"/>
      <c r="B58" s="8"/>
      <c r="C58" s="4"/>
      <c r="D58" s="4"/>
      <c r="E58" s="4"/>
      <c r="F58" s="4"/>
      <c r="G58" s="4"/>
      <c r="H58" s="4" t="str">
        <f>optionchain!$J$2&amp; " " &amp;oiFNO!$O58</f>
        <v>44896 17100</v>
      </c>
      <c r="I58" s="4"/>
      <c r="J58" s="23">
        <v>1438.1</v>
      </c>
      <c r="K58" s="23">
        <v>13.25</v>
      </c>
      <c r="L58" s="23"/>
      <c r="M58" s="23">
        <v>4550</v>
      </c>
      <c r="N58" s="23"/>
      <c r="O58" s="23">
        <v>17100</v>
      </c>
      <c r="P58" s="23">
        <v>1.25</v>
      </c>
      <c r="Q58" s="23">
        <v>-1.05</v>
      </c>
      <c r="R58" s="23">
        <v>2063000</v>
      </c>
      <c r="S58" s="23">
        <v>417700</v>
      </c>
      <c r="T58" s="23">
        <v>105800</v>
      </c>
      <c r="V58" s="4"/>
      <c r="W58" s="4"/>
      <c r="X58" s="4"/>
      <c r="Y58" s="4"/>
      <c r="Z58" s="4"/>
      <c r="AA58" s="4"/>
      <c r="AB58" s="4"/>
      <c r="AC58" s="4" t="str">
        <f>IF(O133&gt;0,oiFNO!$O58-O133,"")</f>
        <v/>
      </c>
      <c r="AD58" s="5" t="str">
        <f t="shared" si="2"/>
        <v/>
      </c>
      <c r="AE58" s="5"/>
      <c r="AF58" s="5"/>
      <c r="AG58" s="5"/>
      <c r="AH58" s="5"/>
      <c r="AI58" s="5"/>
      <c r="AJ58" s="5"/>
      <c r="AK58" s="5"/>
      <c r="AL58" s="5"/>
      <c r="AM58" s="5"/>
    </row>
    <row r="59" spans="1:39" ht="15.75" customHeight="1">
      <c r="A59" s="8"/>
      <c r="B59" s="8"/>
      <c r="C59" s="4"/>
      <c r="D59" s="4"/>
      <c r="E59" s="4"/>
      <c r="F59" s="4"/>
      <c r="G59" s="4"/>
      <c r="H59" s="4" t="str">
        <f>optionchain!$J$2&amp; " " &amp;oiFNO!$O59</f>
        <v>44896 17150</v>
      </c>
      <c r="I59" s="4"/>
      <c r="J59" s="23">
        <v>1280</v>
      </c>
      <c r="K59" s="23"/>
      <c r="L59" s="23"/>
      <c r="M59" s="23">
        <v>300</v>
      </c>
      <c r="N59" s="23"/>
      <c r="O59" s="23">
        <v>17150</v>
      </c>
      <c r="P59" s="23">
        <v>1.2</v>
      </c>
      <c r="Q59" s="23">
        <v>-1.1499999999999999</v>
      </c>
      <c r="R59" s="23">
        <v>546850</v>
      </c>
      <c r="S59" s="23">
        <v>41700</v>
      </c>
      <c r="T59" s="23">
        <v>19000</v>
      </c>
      <c r="V59" s="4"/>
      <c r="W59" s="4"/>
      <c r="X59" s="4"/>
      <c r="Y59" s="4"/>
      <c r="Z59" s="4"/>
      <c r="AA59" s="4"/>
      <c r="AB59" s="4"/>
      <c r="AC59" s="4" t="str">
        <f>IF(O134&gt;0,oiFNO!$O59-O134,"")</f>
        <v/>
      </c>
      <c r="AD59" s="5" t="str">
        <f t="shared" si="2"/>
        <v/>
      </c>
      <c r="AE59" s="5"/>
      <c r="AF59" s="5"/>
      <c r="AG59" s="5"/>
      <c r="AH59" s="5"/>
      <c r="AI59" s="5"/>
      <c r="AJ59" s="5"/>
      <c r="AK59" s="5"/>
      <c r="AL59" s="5"/>
      <c r="AM59" s="5"/>
    </row>
    <row r="60" spans="1:39" ht="15.75" customHeight="1">
      <c r="A60" s="8"/>
      <c r="B60" s="8"/>
      <c r="C60" s="4"/>
      <c r="D60" s="4"/>
      <c r="E60" s="4"/>
      <c r="F60" s="4"/>
      <c r="G60" s="4"/>
      <c r="H60" s="4" t="str">
        <f>optionchain!$J$2&amp; " " &amp;oiFNO!$O60</f>
        <v>44896 17200</v>
      </c>
      <c r="I60" s="4"/>
      <c r="J60" s="23">
        <v>1310.3</v>
      </c>
      <c r="K60" s="23">
        <v>-0.65</v>
      </c>
      <c r="L60" s="23">
        <v>50</v>
      </c>
      <c r="M60" s="23">
        <v>6600</v>
      </c>
      <c r="N60" s="23"/>
      <c r="O60" s="23">
        <v>17200</v>
      </c>
      <c r="P60" s="23">
        <v>1.85</v>
      </c>
      <c r="Q60" s="23">
        <v>-0.7</v>
      </c>
      <c r="R60" s="23">
        <v>3050200</v>
      </c>
      <c r="S60" s="23">
        <v>581150</v>
      </c>
      <c r="T60" s="23">
        <v>-24250</v>
      </c>
      <c r="V60" s="4"/>
      <c r="W60" s="4"/>
      <c r="X60" s="4"/>
      <c r="Y60" s="4"/>
      <c r="Z60" s="4"/>
      <c r="AA60" s="4"/>
      <c r="AB60" s="4"/>
      <c r="AC60" s="4" t="str">
        <f>IF(O135&gt;0,oiFNO!$O60-O135,"")</f>
        <v/>
      </c>
      <c r="AD60" s="5" t="str">
        <f t="shared" si="2"/>
        <v/>
      </c>
      <c r="AE60" s="5"/>
      <c r="AF60" s="5"/>
      <c r="AG60" s="5"/>
      <c r="AH60" s="5"/>
      <c r="AI60" s="5"/>
      <c r="AJ60" s="5"/>
      <c r="AK60" s="5"/>
      <c r="AL60" s="5"/>
      <c r="AM60" s="5"/>
    </row>
    <row r="61" spans="1:39" ht="15.75" customHeight="1">
      <c r="A61" s="8"/>
      <c r="B61" s="8"/>
      <c r="C61" s="4"/>
      <c r="D61" s="4"/>
      <c r="E61" s="4"/>
      <c r="F61" s="4"/>
      <c r="G61" s="4"/>
      <c r="H61" s="4" t="str">
        <f>optionchain!$J$2&amp; " " &amp;oiFNO!$O61</f>
        <v>44896 17250</v>
      </c>
      <c r="I61" s="4"/>
      <c r="J61" s="23">
        <v>1287</v>
      </c>
      <c r="K61" s="23"/>
      <c r="L61" s="23"/>
      <c r="M61" s="23">
        <v>600</v>
      </c>
      <c r="N61" s="23"/>
      <c r="O61" s="23">
        <v>17250</v>
      </c>
      <c r="P61" s="23">
        <v>1.7</v>
      </c>
      <c r="Q61" s="23">
        <v>-1.05</v>
      </c>
      <c r="R61" s="23">
        <v>800350</v>
      </c>
      <c r="S61" s="23">
        <v>247550</v>
      </c>
      <c r="T61" s="23">
        <v>14100</v>
      </c>
      <c r="V61" s="4"/>
      <c r="W61" s="4"/>
      <c r="X61" s="4"/>
      <c r="Y61" s="4"/>
      <c r="Z61" s="4"/>
      <c r="AA61" s="4"/>
      <c r="AB61" s="4"/>
      <c r="AC61" s="4" t="str">
        <f>IF(O136&gt;0,oiFNO!$O61-O136,"")</f>
        <v/>
      </c>
      <c r="AD61" s="5" t="str">
        <f t="shared" si="2"/>
        <v/>
      </c>
      <c r="AE61" s="5"/>
      <c r="AF61" s="5"/>
      <c r="AG61" s="5"/>
      <c r="AH61" s="5"/>
      <c r="AI61" s="5"/>
      <c r="AJ61" s="5"/>
      <c r="AK61" s="5"/>
      <c r="AL61" s="5"/>
      <c r="AM61" s="5"/>
    </row>
    <row r="62" spans="1:39" ht="15.75" customHeight="1">
      <c r="A62" s="8"/>
      <c r="B62" s="8"/>
      <c r="C62" s="4"/>
      <c r="D62" s="4"/>
      <c r="E62" s="4"/>
      <c r="F62" s="4"/>
      <c r="G62" s="4"/>
      <c r="H62" s="4" t="str">
        <f>optionchain!$J$2&amp; " " &amp;oiFNO!$O62</f>
        <v>44896 17300</v>
      </c>
      <c r="I62" s="4"/>
      <c r="J62" s="23">
        <v>1238.25</v>
      </c>
      <c r="K62" s="23">
        <v>64.5</v>
      </c>
      <c r="L62" s="23">
        <v>650</v>
      </c>
      <c r="M62" s="23">
        <v>14050</v>
      </c>
      <c r="N62" s="23">
        <v>-50</v>
      </c>
      <c r="O62" s="23">
        <v>17300</v>
      </c>
      <c r="P62" s="23">
        <v>1.5</v>
      </c>
      <c r="Q62" s="23">
        <v>-1.3</v>
      </c>
      <c r="R62" s="23">
        <v>4512050</v>
      </c>
      <c r="S62" s="23">
        <v>779050</v>
      </c>
      <c r="T62" s="23">
        <v>-29950</v>
      </c>
      <c r="V62" s="4"/>
      <c r="W62" s="4"/>
      <c r="X62" s="4"/>
      <c r="Y62" s="4"/>
      <c r="Z62" s="4"/>
      <c r="AA62" s="4"/>
      <c r="AB62" s="4"/>
      <c r="AC62" s="4" t="str">
        <f>IF(O137&gt;0,oiFNO!$O62-O137,"")</f>
        <v/>
      </c>
      <c r="AD62" s="5" t="str">
        <f t="shared" si="2"/>
        <v/>
      </c>
      <c r="AE62" s="5"/>
      <c r="AF62" s="5"/>
      <c r="AG62" s="5"/>
      <c r="AH62" s="5"/>
      <c r="AI62" s="5"/>
      <c r="AJ62" s="5"/>
      <c r="AK62" s="5"/>
      <c r="AL62" s="5"/>
      <c r="AM62" s="5"/>
    </row>
    <row r="63" spans="1:39" ht="15.75" customHeight="1">
      <c r="A63" s="8"/>
      <c r="B63" s="8"/>
      <c r="C63" s="4"/>
      <c r="D63" s="4"/>
      <c r="E63" s="4"/>
      <c r="F63" s="4"/>
      <c r="G63" s="4"/>
      <c r="H63" s="4" t="str">
        <f>optionchain!$J$2&amp; " " &amp;oiFNO!$O63</f>
        <v>44896 17350</v>
      </c>
      <c r="I63" s="4"/>
      <c r="J63" s="23">
        <v>1187.9000000000001</v>
      </c>
      <c r="K63" s="23">
        <v>107.9</v>
      </c>
      <c r="L63" s="23">
        <v>4000</v>
      </c>
      <c r="M63" s="23">
        <v>28250</v>
      </c>
      <c r="N63" s="23">
        <v>50</v>
      </c>
      <c r="O63" s="23">
        <v>17350</v>
      </c>
      <c r="P63" s="23">
        <v>1.8</v>
      </c>
      <c r="Q63" s="23">
        <v>-1.2</v>
      </c>
      <c r="R63" s="23">
        <v>946750</v>
      </c>
      <c r="S63" s="23">
        <v>162050</v>
      </c>
      <c r="T63" s="23">
        <v>-3000</v>
      </c>
      <c r="V63" s="4"/>
      <c r="W63" s="4"/>
      <c r="X63" s="4"/>
      <c r="Y63" s="4"/>
      <c r="Z63" s="4"/>
      <c r="AA63" s="4"/>
      <c r="AB63" s="4"/>
      <c r="AC63" s="4" t="str">
        <f>IF(O138&gt;0,oiFNO!$O63-O138,"")</f>
        <v/>
      </c>
      <c r="AD63" s="5" t="str">
        <f t="shared" si="2"/>
        <v/>
      </c>
      <c r="AE63" s="5"/>
      <c r="AF63" s="5"/>
      <c r="AG63" s="5"/>
      <c r="AH63" s="5"/>
      <c r="AI63" s="5"/>
      <c r="AJ63" s="5"/>
      <c r="AK63" s="5"/>
      <c r="AL63" s="5"/>
      <c r="AM63" s="5"/>
    </row>
    <row r="64" spans="1:39" ht="15.75" customHeight="1">
      <c r="A64" s="8"/>
      <c r="B64" s="8"/>
      <c r="C64" s="4"/>
      <c r="D64" s="4"/>
      <c r="E64" s="4"/>
      <c r="F64" s="4"/>
      <c r="G64" s="4"/>
      <c r="H64" s="4" t="str">
        <f>optionchain!$J$2&amp; " " &amp;oiFNO!$O64</f>
        <v>44896 17400</v>
      </c>
      <c r="I64" s="4"/>
      <c r="J64" s="23">
        <v>1130.55</v>
      </c>
      <c r="K64" s="23">
        <v>47.95</v>
      </c>
      <c r="L64" s="23">
        <v>1400</v>
      </c>
      <c r="M64" s="23">
        <v>11800</v>
      </c>
      <c r="N64" s="23">
        <v>-700</v>
      </c>
      <c r="O64" s="23">
        <v>17400</v>
      </c>
      <c r="P64" s="23">
        <v>1.9</v>
      </c>
      <c r="Q64" s="23">
        <v>-1.25</v>
      </c>
      <c r="R64" s="23">
        <v>3855800</v>
      </c>
      <c r="S64" s="23">
        <v>726300</v>
      </c>
      <c r="T64" s="23">
        <v>-136000</v>
      </c>
      <c r="V64" s="4"/>
      <c r="W64" s="4"/>
      <c r="X64" s="4"/>
      <c r="Y64" s="4"/>
      <c r="Z64" s="4"/>
      <c r="AA64" s="4"/>
      <c r="AB64" s="4"/>
      <c r="AC64" s="4" t="str">
        <f>IF(O139&gt;0,oiFNO!$O64-O139,"")</f>
        <v/>
      </c>
      <c r="AD64" s="5" t="str">
        <f t="shared" si="2"/>
        <v/>
      </c>
      <c r="AE64" s="5"/>
      <c r="AF64" s="5"/>
      <c r="AG64" s="5"/>
      <c r="AH64" s="5"/>
      <c r="AI64" s="5"/>
      <c r="AJ64" s="5"/>
      <c r="AK64" s="5"/>
      <c r="AL64" s="5"/>
      <c r="AM64" s="5"/>
    </row>
    <row r="65" spans="1:39" ht="15.75" customHeight="1">
      <c r="A65" s="8"/>
      <c r="B65" s="8"/>
      <c r="C65" s="4"/>
      <c r="D65" s="4"/>
      <c r="E65" s="4"/>
      <c r="F65" s="4"/>
      <c r="G65" s="4"/>
      <c r="H65" s="4" t="str">
        <f>optionchain!$J$2&amp; " " &amp;oiFNO!$O65</f>
        <v>44896 17450</v>
      </c>
      <c r="I65" s="4"/>
      <c r="J65" s="23">
        <v>1044.5999999999999</v>
      </c>
      <c r="K65" s="23">
        <v>67.05</v>
      </c>
      <c r="L65" s="23">
        <v>250</v>
      </c>
      <c r="M65" s="23">
        <v>1050</v>
      </c>
      <c r="N65" s="23">
        <v>-50</v>
      </c>
      <c r="O65" s="23">
        <v>17450</v>
      </c>
      <c r="P65" s="23">
        <v>1.6</v>
      </c>
      <c r="Q65" s="23">
        <v>-1.8</v>
      </c>
      <c r="R65" s="23">
        <v>1371400</v>
      </c>
      <c r="S65" s="23">
        <v>175700</v>
      </c>
      <c r="T65" s="23">
        <v>2950</v>
      </c>
      <c r="V65" s="4"/>
      <c r="W65" s="4"/>
      <c r="X65" s="4"/>
      <c r="Y65" s="4"/>
      <c r="Z65" s="4"/>
      <c r="AA65" s="4"/>
      <c r="AB65" s="4"/>
      <c r="AC65" s="4" t="str">
        <f>IF(O140&gt;0,oiFNO!$O65-O140,"")</f>
        <v/>
      </c>
      <c r="AD65" s="5" t="str">
        <f t="shared" si="2"/>
        <v/>
      </c>
      <c r="AE65" s="5"/>
      <c r="AF65" s="5"/>
      <c r="AG65" s="5"/>
      <c r="AH65" s="5"/>
      <c r="AI65" s="5"/>
      <c r="AJ65" s="5"/>
      <c r="AK65" s="5"/>
      <c r="AL65" s="5"/>
      <c r="AM65" s="5"/>
    </row>
    <row r="66" spans="1:39" ht="15.75" customHeight="1">
      <c r="A66" s="8"/>
      <c r="B66" s="8"/>
      <c r="C66" s="4"/>
      <c r="D66" s="4"/>
      <c r="E66" s="4"/>
      <c r="F66" s="4"/>
      <c r="G66" s="4"/>
      <c r="H66" s="4" t="str">
        <f>optionchain!$J$2&amp; " " &amp;oiFNO!$O66</f>
        <v>44896 17500</v>
      </c>
      <c r="I66" s="4"/>
      <c r="J66" s="23">
        <v>1031.8</v>
      </c>
      <c r="K66" s="23">
        <v>17.95</v>
      </c>
      <c r="L66" s="23">
        <v>25700</v>
      </c>
      <c r="M66" s="23">
        <v>49950</v>
      </c>
      <c r="N66" s="23">
        <v>-3450</v>
      </c>
      <c r="O66" s="23">
        <v>17500</v>
      </c>
      <c r="P66" s="23">
        <v>1.8</v>
      </c>
      <c r="Q66" s="23">
        <v>-1.85</v>
      </c>
      <c r="R66" s="23">
        <v>13564500</v>
      </c>
      <c r="S66" s="23">
        <v>3183300</v>
      </c>
      <c r="T66" s="23">
        <v>404950</v>
      </c>
      <c r="V66" s="4"/>
      <c r="W66" s="4"/>
      <c r="X66" s="4"/>
      <c r="Y66" s="5"/>
      <c r="Z66" s="5"/>
      <c r="AA66" s="4"/>
      <c r="AB66" s="4"/>
      <c r="AC66" s="4" t="str">
        <f>IF(O141&gt;0,oiFNO!$O66-O141,"")</f>
        <v/>
      </c>
      <c r="AD66" s="5" t="str">
        <f t="shared" si="2"/>
        <v/>
      </c>
      <c r="AE66" s="5"/>
      <c r="AF66" s="5"/>
      <c r="AG66" s="5"/>
      <c r="AH66" s="5"/>
      <c r="AI66" s="5"/>
      <c r="AJ66" s="5"/>
      <c r="AK66" s="5"/>
      <c r="AL66" s="5"/>
      <c r="AM66" s="5"/>
    </row>
    <row r="67" spans="1:39" ht="15.75" customHeight="1">
      <c r="A67" s="8"/>
      <c r="B67" s="8"/>
      <c r="C67" s="4"/>
      <c r="D67" s="4"/>
      <c r="E67" s="5"/>
      <c r="F67" s="5"/>
      <c r="G67" s="5"/>
      <c r="H67" s="5" t="str">
        <f>optionchain!$J$2&amp; " " &amp;oiFNO!$O67</f>
        <v>44896 17550</v>
      </c>
      <c r="I67" s="5"/>
      <c r="J67" s="23">
        <v>967</v>
      </c>
      <c r="K67" s="23">
        <v>-24</v>
      </c>
      <c r="L67" s="23">
        <v>800</v>
      </c>
      <c r="M67" s="23">
        <v>3150</v>
      </c>
      <c r="N67" s="23">
        <v>100</v>
      </c>
      <c r="O67" s="23">
        <v>17550</v>
      </c>
      <c r="P67" s="23">
        <v>2</v>
      </c>
      <c r="Q67" s="23">
        <v>-1.85</v>
      </c>
      <c r="R67" s="23">
        <v>1988600</v>
      </c>
      <c r="S67" s="23">
        <v>230950</v>
      </c>
      <c r="T67" s="23">
        <v>103650</v>
      </c>
      <c r="V67" s="5"/>
      <c r="W67" s="4"/>
      <c r="X67" s="4"/>
      <c r="Y67" s="5"/>
      <c r="Z67" s="5"/>
      <c r="AA67" s="5"/>
      <c r="AB67" s="5"/>
      <c r="AC67" s="4" t="str">
        <f>IF(O142&gt;0,oiFNO!$O67-O142,"")</f>
        <v/>
      </c>
      <c r="AD67" s="5" t="str">
        <f t="shared" si="2"/>
        <v/>
      </c>
      <c r="AE67" s="5"/>
      <c r="AF67" s="5"/>
      <c r="AG67" s="5"/>
      <c r="AH67" s="5"/>
      <c r="AI67" s="5"/>
      <c r="AJ67" s="5"/>
      <c r="AK67" s="5"/>
      <c r="AL67" s="5"/>
      <c r="AM67" s="5"/>
    </row>
    <row r="68" spans="1:39" ht="15.75" customHeight="1">
      <c r="A68" s="8"/>
      <c r="B68" s="8"/>
      <c r="C68" s="4"/>
      <c r="D68" s="4"/>
      <c r="E68" s="5"/>
      <c r="F68" s="5"/>
      <c r="G68" s="5"/>
      <c r="H68" s="5" t="str">
        <f>optionchain!$J$2&amp; " " &amp;oiFNO!$O68</f>
        <v>44896 17600</v>
      </c>
      <c r="I68" s="5"/>
      <c r="J68" s="23">
        <v>917.25</v>
      </c>
      <c r="K68" s="23">
        <v>24.55</v>
      </c>
      <c r="L68" s="23">
        <v>900</v>
      </c>
      <c r="M68" s="23">
        <v>12950</v>
      </c>
      <c r="N68" s="23">
        <v>-100</v>
      </c>
      <c r="O68" s="23">
        <v>17600</v>
      </c>
      <c r="P68" s="23">
        <v>2.6</v>
      </c>
      <c r="Q68" s="23">
        <v>-1.6</v>
      </c>
      <c r="R68" s="23">
        <v>8536100</v>
      </c>
      <c r="S68" s="23">
        <v>1554050</v>
      </c>
      <c r="T68" s="23">
        <v>-53800</v>
      </c>
      <c r="V68" s="5"/>
      <c r="W68" s="4"/>
      <c r="X68" s="4"/>
      <c r="Y68" s="5"/>
      <c r="Z68" s="5"/>
      <c r="AA68" s="5"/>
      <c r="AB68" s="5"/>
      <c r="AC68" s="4" t="str">
        <f>IF(O143&gt;0,oiFNO!$O68-O143,"")</f>
        <v/>
      </c>
      <c r="AD68" s="5" t="str">
        <f t="shared" si="2"/>
        <v/>
      </c>
      <c r="AE68" s="5"/>
      <c r="AF68" s="5"/>
      <c r="AG68" s="5"/>
      <c r="AH68" s="5"/>
      <c r="AI68" s="5"/>
      <c r="AJ68" s="5"/>
      <c r="AK68" s="5"/>
      <c r="AL68" s="5"/>
      <c r="AM68" s="5"/>
    </row>
    <row r="69" spans="1:39" ht="15.75" customHeight="1">
      <c r="A69" s="8"/>
      <c r="B69" s="8"/>
      <c r="C69" s="5"/>
      <c r="D69" s="4"/>
      <c r="E69" s="5"/>
      <c r="F69" s="5"/>
      <c r="G69" s="5"/>
      <c r="H69" s="5" t="str">
        <f>optionchain!$J$2&amp; " " &amp;oiFNO!$O69</f>
        <v>44896 17650</v>
      </c>
      <c r="I69" s="5"/>
      <c r="J69" s="23">
        <v>848.05</v>
      </c>
      <c r="K69" s="23">
        <v>81.349999999999994</v>
      </c>
      <c r="L69" s="23">
        <v>50</v>
      </c>
      <c r="M69" s="23">
        <v>500</v>
      </c>
      <c r="N69" s="23">
        <v>-50</v>
      </c>
      <c r="O69" s="23">
        <v>17650</v>
      </c>
      <c r="P69" s="23">
        <v>2.35</v>
      </c>
      <c r="Q69" s="23">
        <v>-2.35</v>
      </c>
      <c r="R69" s="23">
        <v>3221000</v>
      </c>
      <c r="S69" s="23">
        <v>414800</v>
      </c>
      <c r="T69" s="23">
        <v>-124850</v>
      </c>
      <c r="V69" s="5"/>
      <c r="W69" s="4"/>
      <c r="X69" s="4"/>
      <c r="Y69" s="5"/>
      <c r="Z69" s="5"/>
      <c r="AA69" s="5"/>
      <c r="AB69" s="5"/>
      <c r="AC69" s="4" t="str">
        <f>IF(O144&gt;0,oiFNO!$O69-O144,"")</f>
        <v/>
      </c>
      <c r="AD69" s="5" t="str">
        <f t="shared" si="2"/>
        <v/>
      </c>
      <c r="AE69" s="5"/>
      <c r="AF69" s="5"/>
      <c r="AG69" s="5"/>
      <c r="AH69" s="5"/>
      <c r="AI69" s="5"/>
      <c r="AJ69" s="5"/>
      <c r="AK69" s="5"/>
      <c r="AL69" s="5"/>
      <c r="AM69" s="5"/>
    </row>
    <row r="70" spans="1:39" ht="15.75" customHeight="1">
      <c r="A70" s="8"/>
      <c r="B70" s="8"/>
      <c r="C70" s="5"/>
      <c r="D70" s="4"/>
      <c r="E70" s="5"/>
      <c r="F70" s="5"/>
      <c r="G70" s="5"/>
      <c r="H70" s="5" t="str">
        <f>optionchain!$J$2&amp; " " &amp;oiFNO!$O70</f>
        <v>44896 17700</v>
      </c>
      <c r="I70" s="5"/>
      <c r="J70" s="23">
        <v>821.1</v>
      </c>
      <c r="K70" s="23">
        <v>10.7</v>
      </c>
      <c r="L70" s="23">
        <v>10000</v>
      </c>
      <c r="M70" s="23">
        <v>39500</v>
      </c>
      <c r="N70" s="23">
        <v>-750</v>
      </c>
      <c r="O70" s="23">
        <v>17700</v>
      </c>
      <c r="P70" s="23">
        <v>3</v>
      </c>
      <c r="Q70" s="23">
        <v>-2.1</v>
      </c>
      <c r="R70" s="23">
        <v>13812550</v>
      </c>
      <c r="S70" s="23">
        <v>3031600</v>
      </c>
      <c r="T70" s="23">
        <v>-708100</v>
      </c>
      <c r="V70" s="5"/>
      <c r="W70" s="4"/>
      <c r="X70" s="4"/>
      <c r="Y70" s="5"/>
      <c r="Z70" s="5"/>
      <c r="AA70" s="5"/>
      <c r="AB70" s="5"/>
      <c r="AC70" s="4" t="str">
        <f>IF(O145&gt;0,oiFNO!$O70-O145,"")</f>
        <v/>
      </c>
      <c r="AD70" s="5" t="str">
        <f t="shared" si="2"/>
        <v/>
      </c>
      <c r="AE70" s="5"/>
      <c r="AF70" s="5"/>
      <c r="AG70" s="5"/>
      <c r="AH70" s="5"/>
      <c r="AI70" s="5"/>
      <c r="AJ70" s="5"/>
      <c r="AK70" s="5"/>
      <c r="AL70" s="5"/>
      <c r="AM70" s="5"/>
    </row>
    <row r="71" spans="1:39" ht="15.75" customHeight="1">
      <c r="A71" s="8"/>
      <c r="B71" s="8"/>
      <c r="C71" s="5"/>
      <c r="D71" s="4"/>
      <c r="E71" s="5"/>
      <c r="F71" s="5"/>
      <c r="G71" s="5"/>
      <c r="H71" s="5" t="str">
        <f>optionchain!$J$2&amp; " " &amp;oiFNO!$O71</f>
        <v>44896 17750</v>
      </c>
      <c r="I71" s="5"/>
      <c r="J71" s="23">
        <v>775.5</v>
      </c>
      <c r="K71" s="23">
        <v>21.1</v>
      </c>
      <c r="L71" s="23">
        <v>2800</v>
      </c>
      <c r="M71" s="23">
        <v>7000</v>
      </c>
      <c r="N71" s="23">
        <v>250</v>
      </c>
      <c r="O71" s="23">
        <v>17750</v>
      </c>
      <c r="P71" s="23">
        <v>2.95</v>
      </c>
      <c r="Q71" s="23">
        <v>-2.4</v>
      </c>
      <c r="R71" s="23">
        <v>3265900</v>
      </c>
      <c r="S71" s="23">
        <v>579700</v>
      </c>
      <c r="T71" s="23">
        <v>270050</v>
      </c>
      <c r="V71" s="5"/>
      <c r="W71" s="4"/>
      <c r="X71" s="4"/>
      <c r="Y71" s="5"/>
      <c r="Z71" s="5"/>
      <c r="AA71" s="5"/>
      <c r="AB71" s="5"/>
      <c r="AC71" s="4" t="str">
        <f>IF(O146&gt;0,oiFNO!$O71-O146,"")</f>
        <v/>
      </c>
      <c r="AD71" s="5" t="str">
        <f t="shared" si="2"/>
        <v/>
      </c>
      <c r="AE71" s="5"/>
      <c r="AF71" s="5"/>
      <c r="AG71" s="5"/>
      <c r="AH71" s="5"/>
      <c r="AI71" s="5"/>
      <c r="AJ71" s="5"/>
      <c r="AK71" s="5"/>
      <c r="AL71" s="5"/>
      <c r="AM71" s="5"/>
    </row>
    <row r="72" spans="1:39" ht="15.75" customHeight="1">
      <c r="A72" s="8"/>
      <c r="B72" s="8"/>
      <c r="C72" s="5"/>
      <c r="D72" s="4"/>
      <c r="E72" s="5"/>
      <c r="F72" s="5"/>
      <c r="G72" s="5"/>
      <c r="H72" s="5" t="str">
        <f>optionchain!$J$2&amp; " " &amp;oiFNO!$O72</f>
        <v>44896 17800</v>
      </c>
      <c r="I72" s="5"/>
      <c r="J72" s="23">
        <v>731.8</v>
      </c>
      <c r="K72" s="23">
        <v>17.7</v>
      </c>
      <c r="L72" s="23">
        <v>17950</v>
      </c>
      <c r="M72" s="23">
        <v>50250</v>
      </c>
      <c r="N72" s="23">
        <v>-1600</v>
      </c>
      <c r="O72" s="23">
        <v>17800</v>
      </c>
      <c r="P72" s="23">
        <v>3.75</v>
      </c>
      <c r="Q72" s="23">
        <v>-2.0499999999999998</v>
      </c>
      <c r="R72" s="23">
        <v>12642000</v>
      </c>
      <c r="S72" s="23">
        <v>3038350</v>
      </c>
      <c r="T72" s="23">
        <v>1189000</v>
      </c>
      <c r="V72" s="5"/>
      <c r="W72" s="5"/>
      <c r="X72" s="5"/>
      <c r="Y72" s="5"/>
      <c r="Z72" s="5"/>
      <c r="AA72" s="5"/>
      <c r="AB72" s="5"/>
      <c r="AC72" s="4" t="str">
        <f>IF(O147&gt;0,oiFNO!$O72-O147,"")</f>
        <v/>
      </c>
      <c r="AD72" s="5" t="str">
        <f t="shared" si="2"/>
        <v/>
      </c>
      <c r="AE72" s="5"/>
      <c r="AF72" s="5"/>
      <c r="AG72" s="5"/>
      <c r="AH72" s="5"/>
      <c r="AI72" s="5"/>
      <c r="AJ72" s="5"/>
      <c r="AK72" s="5"/>
      <c r="AL72" s="5"/>
      <c r="AM72" s="5"/>
    </row>
    <row r="73" spans="1:39" ht="15.75" customHeight="1">
      <c r="A73" s="8"/>
      <c r="B73" s="8"/>
      <c r="C73" s="5"/>
      <c r="D73" s="4"/>
      <c r="E73" s="5"/>
      <c r="F73" s="5"/>
      <c r="G73" s="5"/>
      <c r="H73" s="5" t="str">
        <f>optionchain!$J$2&amp; " " &amp;oiFNO!$O73</f>
        <v>44896 17850</v>
      </c>
      <c r="I73" s="5"/>
      <c r="J73" s="23">
        <v>691.65</v>
      </c>
      <c r="K73" s="23">
        <v>-12.95</v>
      </c>
      <c r="L73" s="23">
        <v>1500</v>
      </c>
      <c r="M73" s="23">
        <v>2000</v>
      </c>
      <c r="N73" s="23">
        <v>-100</v>
      </c>
      <c r="O73" s="23">
        <v>17850</v>
      </c>
      <c r="P73" s="23">
        <v>3.8</v>
      </c>
      <c r="Q73" s="23">
        <v>-2.8</v>
      </c>
      <c r="R73" s="23">
        <v>6671650</v>
      </c>
      <c r="S73" s="23">
        <v>1432150</v>
      </c>
      <c r="T73" s="23">
        <v>1027750</v>
      </c>
      <c r="V73" s="5"/>
      <c r="W73" s="5"/>
      <c r="X73" s="5"/>
      <c r="Y73" s="5"/>
      <c r="Z73" s="5"/>
      <c r="AA73" s="5"/>
      <c r="AB73" s="5"/>
      <c r="AC73" s="4" t="str">
        <f>IF(O148&gt;0,oiFNO!$O73-O148,"")</f>
        <v/>
      </c>
      <c r="AD73" s="5" t="str">
        <f t="shared" si="2"/>
        <v/>
      </c>
      <c r="AE73" s="5"/>
      <c r="AF73" s="5"/>
      <c r="AG73" s="5"/>
      <c r="AH73" s="5"/>
      <c r="AI73" s="5"/>
      <c r="AJ73" s="5"/>
      <c r="AK73" s="5"/>
      <c r="AL73" s="5"/>
      <c r="AM73" s="5"/>
    </row>
    <row r="74" spans="1:39" ht="15.75" customHeight="1">
      <c r="A74" s="8"/>
      <c r="B74" s="8"/>
      <c r="C74" s="5"/>
      <c r="D74" s="4"/>
      <c r="E74" s="5"/>
      <c r="F74" s="5"/>
      <c r="G74" s="5"/>
      <c r="H74" s="5" t="str">
        <f>optionchain!$J$2&amp; " " &amp;oiFNO!$O74</f>
        <v>44896 17900</v>
      </c>
      <c r="I74" s="5"/>
      <c r="J74" s="23">
        <v>635.35</v>
      </c>
      <c r="K74" s="23">
        <v>23.2</v>
      </c>
      <c r="L74" s="23">
        <v>38800</v>
      </c>
      <c r="M74" s="23">
        <v>25150</v>
      </c>
      <c r="N74" s="23">
        <v>-13000</v>
      </c>
      <c r="O74" s="23">
        <v>17900</v>
      </c>
      <c r="P74" s="23">
        <v>4.45</v>
      </c>
      <c r="Q74" s="23">
        <v>-3.1</v>
      </c>
      <c r="R74" s="23">
        <v>15016800</v>
      </c>
      <c r="S74" s="23">
        <v>2259100</v>
      </c>
      <c r="T74" s="23">
        <v>772050</v>
      </c>
      <c r="V74" s="5"/>
      <c r="W74" s="5"/>
      <c r="X74" s="5"/>
      <c r="Y74" s="5"/>
      <c r="Z74" s="5"/>
      <c r="AA74" s="5"/>
      <c r="AB74" s="5"/>
      <c r="AC74" s="4" t="str">
        <f>IF(O149&gt;0,oiFNO!$O74-O149,"")</f>
        <v/>
      </c>
      <c r="AD74" s="5" t="str">
        <f t="shared" si="2"/>
        <v/>
      </c>
      <c r="AE74" s="5"/>
      <c r="AF74" s="5"/>
      <c r="AG74" s="5"/>
      <c r="AH74" s="5"/>
      <c r="AI74" s="5"/>
      <c r="AJ74" s="5"/>
      <c r="AK74" s="5"/>
      <c r="AL74" s="5"/>
      <c r="AM74" s="5"/>
    </row>
    <row r="75" spans="1:39" ht="15.75" customHeight="1">
      <c r="A75" s="8"/>
      <c r="B75" s="8"/>
      <c r="C75" s="5"/>
      <c r="D75" s="4"/>
      <c r="E75" s="5"/>
      <c r="F75" s="5"/>
      <c r="G75" s="5"/>
      <c r="H75" s="5" t="str">
        <f>optionchain!$J$2&amp; " " &amp;oiFNO!$O75</f>
        <v>44896 17950</v>
      </c>
      <c r="I75" s="5"/>
      <c r="J75" s="23">
        <v>584.85</v>
      </c>
      <c r="K75" s="23">
        <v>-4.1500000000000004</v>
      </c>
      <c r="L75" s="23">
        <v>12550</v>
      </c>
      <c r="M75" s="23">
        <v>11450</v>
      </c>
      <c r="N75" s="23">
        <v>-250</v>
      </c>
      <c r="O75" s="23">
        <v>17950</v>
      </c>
      <c r="P75" s="23">
        <v>5.15</v>
      </c>
      <c r="Q75" s="23">
        <v>-3.8</v>
      </c>
      <c r="R75" s="23">
        <v>6657450</v>
      </c>
      <c r="S75" s="23">
        <v>644800</v>
      </c>
      <c r="T75" s="23">
        <v>87950</v>
      </c>
      <c r="V75" s="5"/>
      <c r="W75" s="5"/>
      <c r="X75" s="5"/>
      <c r="Y75" s="5"/>
      <c r="Z75" s="5"/>
      <c r="AA75" s="5"/>
      <c r="AB75" s="5"/>
      <c r="AC75" s="4" t="str">
        <f>IF(O150&gt;0,oiFNO!$O75-O150,"")</f>
        <v/>
      </c>
      <c r="AD75" s="5" t="str">
        <f t="shared" si="2"/>
        <v/>
      </c>
      <c r="AE75" s="5"/>
      <c r="AF75" s="5"/>
      <c r="AG75" s="5"/>
      <c r="AH75" s="5"/>
      <c r="AI75" s="5"/>
      <c r="AJ75" s="5"/>
      <c r="AK75" s="5"/>
      <c r="AL75" s="5"/>
      <c r="AM75" s="5"/>
    </row>
    <row r="76" spans="1:39" ht="15.75" customHeight="1">
      <c r="A76" s="8"/>
      <c r="B76" s="8"/>
      <c r="C76" s="5"/>
      <c r="D76" s="5"/>
      <c r="E76" s="5"/>
      <c r="F76" s="5"/>
      <c r="G76" s="5"/>
      <c r="H76" s="5" t="str">
        <f>optionchain!$J$2&amp; " " &amp;oiFNO!$O76</f>
        <v>44896 18000</v>
      </c>
      <c r="I76" s="5"/>
      <c r="J76" s="23">
        <v>537</v>
      </c>
      <c r="K76" s="23">
        <v>13.75</v>
      </c>
      <c r="L76" s="23">
        <v>622700</v>
      </c>
      <c r="M76" s="23">
        <v>256900</v>
      </c>
      <c r="N76" s="23">
        <v>2050</v>
      </c>
      <c r="O76" s="23">
        <v>18000</v>
      </c>
      <c r="P76" s="23">
        <v>6.05</v>
      </c>
      <c r="Q76" s="23">
        <v>-4.25</v>
      </c>
      <c r="R76" s="23">
        <v>24727750</v>
      </c>
      <c r="S76" s="23">
        <v>3093950</v>
      </c>
      <c r="T76" s="23">
        <v>351650</v>
      </c>
      <c r="V76" s="5"/>
      <c r="W76" s="5"/>
      <c r="X76" s="5"/>
      <c r="Y76" s="5"/>
      <c r="Z76" s="5"/>
      <c r="AA76" s="5"/>
      <c r="AB76" s="5"/>
      <c r="AC76" s="4" t="str">
        <f>IF(O151&gt;0,oiFNO!$O76-O151,"")</f>
        <v/>
      </c>
      <c r="AD76" s="5" t="str">
        <f t="shared" si="2"/>
        <v/>
      </c>
      <c r="AE76" s="5"/>
      <c r="AF76" s="5"/>
      <c r="AG76" s="5"/>
      <c r="AH76" s="5"/>
      <c r="AI76" s="5"/>
      <c r="AJ76" s="5"/>
      <c r="AK76" s="5"/>
      <c r="AL76" s="5"/>
      <c r="AM76" s="5"/>
    </row>
    <row r="77" spans="1:39" ht="15.75" customHeight="1">
      <c r="A77" s="8"/>
      <c r="B77" s="8"/>
      <c r="C77" s="5"/>
      <c r="D77" s="5"/>
      <c r="E77" s="5"/>
      <c r="F77" s="5"/>
      <c r="G77" s="5"/>
      <c r="H77" s="5" t="str">
        <f>optionchain!$J$2&amp; " " &amp;oiFNO!$O77</f>
        <v>44896 18050</v>
      </c>
      <c r="I77" s="5"/>
      <c r="J77" s="23">
        <v>485.35</v>
      </c>
      <c r="K77" s="23">
        <v>12.1</v>
      </c>
      <c r="L77" s="23">
        <v>55550</v>
      </c>
      <c r="M77" s="23">
        <v>21100</v>
      </c>
      <c r="N77" s="23">
        <v>-2150</v>
      </c>
      <c r="O77" s="23">
        <v>18050</v>
      </c>
      <c r="P77" s="23">
        <v>7.3</v>
      </c>
      <c r="Q77" s="23">
        <v>-5</v>
      </c>
      <c r="R77" s="23">
        <v>12425900</v>
      </c>
      <c r="S77" s="23">
        <v>1314100</v>
      </c>
      <c r="T77" s="23">
        <v>796100</v>
      </c>
      <c r="V77" s="5"/>
      <c r="W77" s="5"/>
      <c r="X77" s="5"/>
      <c r="Y77" s="5"/>
      <c r="Z77" s="5"/>
      <c r="AA77" s="5"/>
      <c r="AB77" s="5"/>
      <c r="AC77" s="4" t="str">
        <f>IF(O152&gt;0,oiFNO!$O77-O152,"")</f>
        <v/>
      </c>
      <c r="AD77" s="5" t="str">
        <f t="shared" si="2"/>
        <v/>
      </c>
      <c r="AE77" s="5"/>
      <c r="AF77" s="5"/>
      <c r="AG77" s="5"/>
      <c r="AH77" s="5"/>
      <c r="AI77" s="5"/>
      <c r="AJ77" s="5"/>
      <c r="AK77" s="5"/>
      <c r="AL77" s="5"/>
      <c r="AM77" s="5"/>
    </row>
    <row r="78" spans="1:39" ht="15.75" customHeight="1">
      <c r="A78" s="8"/>
      <c r="B78" s="8"/>
      <c r="C78" s="5"/>
      <c r="D78" s="5"/>
      <c r="E78" s="5"/>
      <c r="F78" s="5"/>
      <c r="G78" s="5"/>
      <c r="H78" s="5" t="str">
        <f>optionchain!$J$2&amp; " " &amp;oiFNO!$O78</f>
        <v>44896 18100</v>
      </c>
      <c r="I78" s="5"/>
      <c r="J78" s="23">
        <v>440</v>
      </c>
      <c r="K78" s="23">
        <v>12.2</v>
      </c>
      <c r="L78" s="23">
        <v>392500</v>
      </c>
      <c r="M78" s="23">
        <v>100250</v>
      </c>
      <c r="N78" s="23">
        <v>-14050</v>
      </c>
      <c r="O78" s="23">
        <v>18100</v>
      </c>
      <c r="P78" s="23">
        <v>8.8000000000000007</v>
      </c>
      <c r="Q78" s="23">
        <v>-6.35</v>
      </c>
      <c r="R78" s="23">
        <v>21979250</v>
      </c>
      <c r="S78" s="23">
        <v>2897900</v>
      </c>
      <c r="T78" s="23">
        <v>921850</v>
      </c>
      <c r="V78" s="5"/>
      <c r="W78" s="5"/>
      <c r="X78" s="5"/>
      <c r="Y78" s="5"/>
      <c r="Z78" s="5"/>
      <c r="AA78" s="5"/>
      <c r="AB78" s="5"/>
      <c r="AC78" s="4" t="str">
        <f>IF(O153&gt;0,oiFNO!$O78-O153,"")</f>
        <v/>
      </c>
      <c r="AD78" s="5" t="str">
        <f t="shared" si="2"/>
        <v/>
      </c>
      <c r="AE78" s="5"/>
      <c r="AF78" s="5"/>
      <c r="AG78" s="5"/>
      <c r="AH78" s="5"/>
      <c r="AI78" s="5"/>
      <c r="AJ78" s="5"/>
      <c r="AK78" s="5"/>
      <c r="AL78" s="5"/>
      <c r="AM78" s="5"/>
    </row>
    <row r="79" spans="1:39" ht="15.75" customHeight="1">
      <c r="A79" s="8"/>
      <c r="B79" s="8"/>
      <c r="C79" s="5"/>
      <c r="D79" s="5"/>
      <c r="E79" s="5"/>
      <c r="F79" s="5"/>
      <c r="G79" s="5"/>
      <c r="H79" s="5" t="str">
        <f>optionchain!$J$2&amp; " " &amp;oiFNO!$O79</f>
        <v>44896 18150</v>
      </c>
      <c r="I79" s="5"/>
      <c r="J79" s="23">
        <v>389</v>
      </c>
      <c r="K79" s="23">
        <v>4.8499999999999996</v>
      </c>
      <c r="L79" s="23">
        <v>135950</v>
      </c>
      <c r="M79" s="23">
        <v>102300</v>
      </c>
      <c r="N79" s="23">
        <v>-6900</v>
      </c>
      <c r="O79" s="23">
        <v>18150</v>
      </c>
      <c r="P79" s="23">
        <v>11.3</v>
      </c>
      <c r="Q79" s="23">
        <v>-7.5</v>
      </c>
      <c r="R79" s="23">
        <v>12008100</v>
      </c>
      <c r="S79" s="23">
        <v>1531150</v>
      </c>
      <c r="T79" s="23">
        <v>812350</v>
      </c>
      <c r="V79" s="5"/>
      <c r="W79" s="5"/>
      <c r="X79" s="5"/>
      <c r="Y79" s="5"/>
      <c r="Z79" s="5"/>
      <c r="AA79" s="5"/>
      <c r="AB79" s="5"/>
      <c r="AC79" s="4" t="str">
        <f>IF(O154&gt;0,oiFNO!$O79-O154,"")</f>
        <v/>
      </c>
      <c r="AD79" s="5" t="str">
        <f t="shared" si="2"/>
        <v/>
      </c>
      <c r="AE79" s="5"/>
      <c r="AF79" s="5"/>
      <c r="AG79" s="5"/>
      <c r="AH79" s="5"/>
      <c r="AI79" s="5"/>
      <c r="AJ79" s="5"/>
      <c r="AK79" s="5"/>
      <c r="AL79" s="5"/>
      <c r="AM79" s="5"/>
    </row>
    <row r="80" spans="1:39" ht="15.75" customHeight="1">
      <c r="A80" s="8"/>
      <c r="B80" s="8"/>
      <c r="C80" s="5"/>
      <c r="D80" s="5"/>
      <c r="E80" s="5"/>
      <c r="F80" s="5"/>
      <c r="G80" s="5"/>
      <c r="H80" s="5" t="str">
        <f>optionchain!$J$2&amp; " " &amp;oiFNO!$O80</f>
        <v>44896 18200</v>
      </c>
      <c r="I80" s="5"/>
      <c r="J80" s="23">
        <v>346</v>
      </c>
      <c r="K80" s="23">
        <v>14.6</v>
      </c>
      <c r="L80" s="23">
        <v>3419400</v>
      </c>
      <c r="M80" s="23">
        <v>1096950</v>
      </c>
      <c r="N80" s="23">
        <v>212250</v>
      </c>
      <c r="O80" s="23">
        <v>18200</v>
      </c>
      <c r="P80" s="23">
        <v>13.8</v>
      </c>
      <c r="Q80" s="23">
        <v>-10.1</v>
      </c>
      <c r="R80" s="23">
        <v>39677200</v>
      </c>
      <c r="S80" s="23">
        <v>4475350</v>
      </c>
      <c r="T80" s="23">
        <v>1326150</v>
      </c>
      <c r="V80" s="5"/>
      <c r="W80" s="5"/>
      <c r="X80" s="5"/>
      <c r="Y80" s="5"/>
      <c r="Z80" s="5"/>
      <c r="AA80" s="5"/>
      <c r="AB80" s="5"/>
      <c r="AC80" s="4" t="str">
        <f>IF(O155&gt;0,oiFNO!$O80-O155,"")</f>
        <v/>
      </c>
      <c r="AD80" s="5" t="str">
        <f t="shared" si="2"/>
        <v/>
      </c>
      <c r="AE80" s="5"/>
      <c r="AF80" s="5"/>
      <c r="AG80" s="5"/>
      <c r="AH80" s="5"/>
      <c r="AI80" s="5"/>
      <c r="AJ80" s="5"/>
      <c r="AK80" s="5"/>
      <c r="AL80" s="5"/>
      <c r="AM80" s="5"/>
    </row>
    <row r="81" spans="1:39" ht="15.75" customHeight="1">
      <c r="A81" s="8"/>
      <c r="B81" s="8"/>
      <c r="C81" s="5"/>
      <c r="D81" s="5"/>
      <c r="E81" s="5"/>
      <c r="F81" s="5"/>
      <c r="G81" s="5"/>
      <c r="H81" s="5" t="str">
        <f>optionchain!$J$2&amp; " " &amp;oiFNO!$O81</f>
        <v>44896 18250</v>
      </c>
      <c r="I81" s="5"/>
      <c r="J81" s="23">
        <v>299.2</v>
      </c>
      <c r="K81" s="23">
        <v>17.2</v>
      </c>
      <c r="L81" s="23">
        <v>824200</v>
      </c>
      <c r="M81" s="23">
        <v>127100</v>
      </c>
      <c r="N81" s="23">
        <v>-15600</v>
      </c>
      <c r="O81" s="23">
        <v>18250</v>
      </c>
      <c r="P81" s="23">
        <v>18</v>
      </c>
      <c r="Q81" s="23">
        <v>-11.95</v>
      </c>
      <c r="R81" s="23">
        <v>21126400</v>
      </c>
      <c r="S81" s="23">
        <v>1736950</v>
      </c>
      <c r="T81" s="23">
        <v>593550</v>
      </c>
      <c r="V81" s="5"/>
      <c r="W81" s="5"/>
      <c r="X81" s="5"/>
      <c r="Y81" s="5"/>
      <c r="Z81" s="5"/>
      <c r="AA81" s="5"/>
      <c r="AB81" s="5"/>
      <c r="AC81" s="4" t="str">
        <f>IF(O156&gt;0,oiFNO!$O81-O156,"")</f>
        <v/>
      </c>
      <c r="AD81" s="5" t="str">
        <f t="shared" si="2"/>
        <v/>
      </c>
      <c r="AE81" s="5"/>
      <c r="AF81" s="5"/>
      <c r="AG81" s="5"/>
      <c r="AH81" s="5"/>
      <c r="AI81" s="5"/>
      <c r="AJ81" s="5"/>
      <c r="AK81" s="5"/>
      <c r="AL81" s="5"/>
      <c r="AM81" s="5"/>
    </row>
    <row r="82" spans="1:39" ht="15.75" customHeight="1">
      <c r="A82" s="8"/>
      <c r="B82" s="8"/>
      <c r="C82" s="5"/>
      <c r="D82" s="5"/>
      <c r="E82" s="5"/>
      <c r="F82" s="5"/>
      <c r="G82" s="5"/>
      <c r="H82" s="5" t="str">
        <f>optionchain!$J$2&amp; " " &amp;oiFNO!$O82</f>
        <v>44896 18300</v>
      </c>
      <c r="I82" s="5"/>
      <c r="J82" s="23">
        <v>253.5</v>
      </c>
      <c r="K82" s="23">
        <v>7</v>
      </c>
      <c r="L82" s="23">
        <v>11918250</v>
      </c>
      <c r="M82" s="23">
        <v>3115900</v>
      </c>
      <c r="N82" s="23">
        <v>-853150</v>
      </c>
      <c r="O82" s="23">
        <v>18300</v>
      </c>
      <c r="P82" s="23">
        <v>23.9</v>
      </c>
      <c r="Q82" s="23">
        <v>-14.7</v>
      </c>
      <c r="R82" s="23">
        <v>65341150</v>
      </c>
      <c r="S82" s="23">
        <v>7209900</v>
      </c>
      <c r="T82" s="23">
        <v>247150</v>
      </c>
      <c r="V82" s="5"/>
      <c r="W82" s="5"/>
      <c r="X82" s="5"/>
      <c r="Y82" s="5"/>
      <c r="Z82" s="5"/>
      <c r="AA82" s="5"/>
      <c r="AB82" s="5"/>
      <c r="AC82" s="4" t="str">
        <f>IF(O157&gt;0,oiFNO!$O82-O157,"")</f>
        <v/>
      </c>
      <c r="AD82" s="5" t="str">
        <f t="shared" si="2"/>
        <v/>
      </c>
      <c r="AE82" s="5"/>
      <c r="AF82" s="5"/>
      <c r="AG82" s="5"/>
      <c r="AH82" s="5"/>
      <c r="AI82" s="5"/>
      <c r="AJ82" s="5"/>
      <c r="AK82" s="5"/>
      <c r="AL82" s="5"/>
      <c r="AM82" s="5"/>
    </row>
    <row r="83" spans="1:39" ht="15.75" customHeight="1">
      <c r="A83" s="8"/>
      <c r="B83" s="8"/>
      <c r="C83" s="5"/>
      <c r="D83" s="5"/>
      <c r="E83" s="5"/>
      <c r="F83" s="5"/>
      <c r="G83" s="5"/>
      <c r="H83" s="5" t="str">
        <f>optionchain!$J$2&amp; " " &amp;oiFNO!$O83</f>
        <v>44896 18350</v>
      </c>
      <c r="I83" s="5"/>
      <c r="J83" s="23">
        <v>213.8</v>
      </c>
      <c r="K83" s="23">
        <v>10.65</v>
      </c>
      <c r="L83" s="23">
        <v>6686900</v>
      </c>
      <c r="M83" s="23">
        <v>369350</v>
      </c>
      <c r="N83" s="23">
        <v>-67200</v>
      </c>
      <c r="O83" s="23">
        <v>18350</v>
      </c>
      <c r="P83" s="23">
        <v>31.45</v>
      </c>
      <c r="Q83" s="23">
        <v>-17.55</v>
      </c>
      <c r="R83" s="23">
        <v>34430650</v>
      </c>
      <c r="S83" s="23">
        <v>2150400</v>
      </c>
      <c r="T83" s="23">
        <v>167900</v>
      </c>
      <c r="V83" s="5"/>
      <c r="W83" s="5"/>
      <c r="X83" s="5"/>
      <c r="Y83" s="5"/>
      <c r="Z83" s="5"/>
      <c r="AA83" s="5"/>
      <c r="AB83" s="5"/>
      <c r="AC83" s="4" t="str">
        <f>IF(O158&gt;0,oiFNO!$O83-O158,"")</f>
        <v/>
      </c>
      <c r="AD83" s="5" t="str">
        <f t="shared" si="2"/>
        <v/>
      </c>
      <c r="AE83" s="5"/>
      <c r="AF83" s="5"/>
      <c r="AG83" s="5"/>
      <c r="AH83" s="5"/>
      <c r="AI83" s="5"/>
      <c r="AJ83" s="5"/>
      <c r="AK83" s="5"/>
      <c r="AL83" s="5"/>
      <c r="AM83" s="5"/>
    </row>
    <row r="84" spans="1:39" ht="15.75" customHeight="1">
      <c r="A84" s="8"/>
      <c r="B84" s="8"/>
      <c r="C84" s="5"/>
      <c r="D84" s="5"/>
      <c r="E84" s="5"/>
      <c r="F84" s="5"/>
      <c r="G84" s="5"/>
      <c r="H84" s="5" t="str">
        <f>optionchain!$J$2&amp; " " &amp;oiFNO!$O84</f>
        <v>44896 18400</v>
      </c>
      <c r="I84" s="5"/>
      <c r="J84" s="23">
        <v>171.15</v>
      </c>
      <c r="K84" s="23">
        <v>3</v>
      </c>
      <c r="L84" s="23">
        <v>47284200</v>
      </c>
      <c r="M84" s="23">
        <v>2796500</v>
      </c>
      <c r="N84" s="23">
        <v>-440500</v>
      </c>
      <c r="O84" s="23">
        <v>18400</v>
      </c>
      <c r="P84" s="23">
        <v>40.25</v>
      </c>
      <c r="Q84" s="23">
        <v>-21.7</v>
      </c>
      <c r="R84" s="23">
        <v>93110800</v>
      </c>
      <c r="S84" s="23">
        <v>6093600</v>
      </c>
      <c r="T84" s="23">
        <v>1681750</v>
      </c>
      <c r="V84" s="5"/>
      <c r="W84" s="5"/>
      <c r="X84" s="5"/>
      <c r="Y84" s="5"/>
      <c r="Z84" s="5"/>
      <c r="AA84" s="5"/>
      <c r="AB84" s="5"/>
      <c r="AC84" s="4" t="str">
        <f>IF(O159&gt;0,oiFNO!$O84-O159,"")</f>
        <v/>
      </c>
      <c r="AD84" s="5" t="str">
        <f t="shared" si="2"/>
        <v/>
      </c>
      <c r="AE84" s="5"/>
      <c r="AF84" s="5"/>
      <c r="AG84" s="5"/>
      <c r="AH84" s="5"/>
      <c r="AI84" s="5"/>
      <c r="AJ84" s="5"/>
      <c r="AK84" s="5"/>
      <c r="AL84" s="5"/>
      <c r="AM84" s="5"/>
    </row>
    <row r="85" spans="1:39" ht="15.75" customHeight="1">
      <c r="A85" s="8"/>
      <c r="B85" s="8"/>
      <c r="C85" s="5"/>
      <c r="D85" s="5"/>
      <c r="E85" s="5"/>
      <c r="F85" s="5"/>
      <c r="G85" s="5"/>
      <c r="H85" s="5" t="str">
        <f>optionchain!$J$2&amp; " " &amp;oiFNO!$O85</f>
        <v>44896 18450</v>
      </c>
      <c r="I85" s="5"/>
      <c r="J85" s="23">
        <v>136.5</v>
      </c>
      <c r="K85" s="23">
        <v>1.4</v>
      </c>
      <c r="L85" s="23">
        <v>38631200</v>
      </c>
      <c r="M85" s="23">
        <v>681850</v>
      </c>
      <c r="N85" s="23">
        <v>144800</v>
      </c>
      <c r="O85" s="23">
        <v>18450</v>
      </c>
      <c r="P85" s="23">
        <v>55</v>
      </c>
      <c r="Q85" s="23">
        <v>-23.75</v>
      </c>
      <c r="R85" s="23">
        <v>65839000</v>
      </c>
      <c r="S85" s="23">
        <v>1745050</v>
      </c>
      <c r="T85" s="23">
        <v>926900</v>
      </c>
      <c r="V85" s="5"/>
      <c r="W85" s="5"/>
      <c r="X85" s="5"/>
      <c r="Y85" s="5"/>
      <c r="Z85" s="5"/>
      <c r="AA85" s="5"/>
      <c r="AB85" s="5"/>
      <c r="AC85" s="4" t="str">
        <f>IF(O160&gt;0,oiFNO!$O85-O160,"")</f>
        <v/>
      </c>
      <c r="AD85" s="5" t="str">
        <f t="shared" si="2"/>
        <v/>
      </c>
      <c r="AE85" s="5"/>
      <c r="AF85" s="5"/>
      <c r="AG85" s="5"/>
      <c r="AH85" s="5"/>
      <c r="AI85" s="5"/>
      <c r="AJ85" s="5"/>
      <c r="AK85" s="5"/>
      <c r="AL85" s="5"/>
      <c r="AM85" s="5"/>
    </row>
    <row r="86" spans="1:39" ht="15.75" customHeight="1">
      <c r="A86" s="8"/>
      <c r="B86" s="8"/>
      <c r="C86" s="5"/>
      <c r="D86" s="5"/>
      <c r="E86" s="5"/>
      <c r="F86" s="5"/>
      <c r="G86" s="5"/>
      <c r="H86" s="5" t="str">
        <f>optionchain!$J$2&amp; " " &amp;oiFNO!$O86</f>
        <v>44896 18500</v>
      </c>
      <c r="I86" s="5"/>
      <c r="J86" s="23">
        <v>103</v>
      </c>
      <c r="K86" s="23">
        <v>-8.35</v>
      </c>
      <c r="L86" s="23">
        <v>164770350</v>
      </c>
      <c r="M86" s="23">
        <v>6791600</v>
      </c>
      <c r="N86" s="23">
        <v>2957400</v>
      </c>
      <c r="O86" s="23">
        <v>18500</v>
      </c>
      <c r="P86" s="23">
        <v>71.599999999999994</v>
      </c>
      <c r="Q86" s="23">
        <v>-21.65</v>
      </c>
      <c r="R86" s="23">
        <v>139588400</v>
      </c>
      <c r="S86" s="23">
        <v>6205200</v>
      </c>
      <c r="T86" s="23">
        <v>2619800</v>
      </c>
      <c r="V86" s="5"/>
      <c r="W86" s="5"/>
      <c r="X86" s="5"/>
      <c r="Y86" s="5"/>
      <c r="Z86" s="5"/>
      <c r="AA86" s="5"/>
      <c r="AB86" s="5"/>
      <c r="AC86" s="4" t="str">
        <f>IF(O161&gt;0,oiFNO!$O86-O161,"")</f>
        <v/>
      </c>
      <c r="AD86" s="5" t="str">
        <f t="shared" si="2"/>
        <v/>
      </c>
      <c r="AE86" s="5"/>
      <c r="AF86" s="5"/>
      <c r="AG86" s="5"/>
      <c r="AH86" s="5"/>
      <c r="AI86" s="5"/>
      <c r="AJ86" s="5"/>
      <c r="AK86" s="5"/>
      <c r="AL86" s="5"/>
      <c r="AM86" s="5"/>
    </row>
    <row r="87" spans="1:39" ht="15.75" customHeight="1">
      <c r="A87" s="8"/>
      <c r="B87" s="8"/>
      <c r="C87" s="5"/>
      <c r="D87" s="5"/>
      <c r="E87" s="5"/>
      <c r="F87" s="5"/>
      <c r="G87" s="5"/>
      <c r="H87" s="5" t="str">
        <f>optionchain!$J$2&amp; " " &amp;oiFNO!$O87</f>
        <v>44896 18550</v>
      </c>
      <c r="I87" s="5"/>
      <c r="J87" s="23">
        <v>76.150000000000006</v>
      </c>
      <c r="K87" s="23">
        <v>-9</v>
      </c>
      <c r="L87" s="23">
        <v>54338850</v>
      </c>
      <c r="M87" s="23">
        <v>1630050</v>
      </c>
      <c r="N87" s="23">
        <v>656050</v>
      </c>
      <c r="O87" s="23">
        <v>18550</v>
      </c>
      <c r="P87" s="23">
        <v>93.35</v>
      </c>
      <c r="Q87" s="23">
        <v>-19.45</v>
      </c>
      <c r="R87" s="23">
        <v>30979600</v>
      </c>
      <c r="S87" s="23">
        <v>740550</v>
      </c>
      <c r="T87" s="23">
        <v>121850</v>
      </c>
      <c r="V87" s="5"/>
      <c r="W87" s="5"/>
      <c r="X87" s="5"/>
      <c r="Y87" s="5"/>
      <c r="Z87" s="5"/>
      <c r="AA87" s="5"/>
      <c r="AB87" s="5"/>
      <c r="AC87" s="4" t="str">
        <f>IF(O162&gt;0,oiFNO!$O87-O162,"")</f>
        <v/>
      </c>
      <c r="AD87" s="5" t="str">
        <f t="shared" si="2"/>
        <v/>
      </c>
      <c r="AE87" s="5"/>
      <c r="AF87" s="5"/>
      <c r="AG87" s="5"/>
      <c r="AH87" s="5"/>
      <c r="AI87" s="5"/>
      <c r="AJ87" s="5"/>
      <c r="AK87" s="5"/>
      <c r="AL87" s="5"/>
      <c r="AM87" s="5"/>
    </row>
    <row r="88" spans="1:39" ht="15.75" customHeight="1">
      <c r="A88" s="8"/>
      <c r="B88" s="8"/>
      <c r="C88" s="5"/>
      <c r="D88" s="5"/>
      <c r="E88" s="5"/>
      <c r="F88" s="5"/>
      <c r="G88" s="5"/>
      <c r="H88" s="5" t="str">
        <f>optionchain!$J$2&amp; " " &amp;oiFNO!$O88</f>
        <v>44896 18600</v>
      </c>
      <c r="I88" s="5"/>
      <c r="J88" s="23">
        <v>53.45</v>
      </c>
      <c r="K88" s="23">
        <v>-10.7</v>
      </c>
      <c r="L88" s="23">
        <v>115576850</v>
      </c>
      <c r="M88" s="23">
        <v>4826400</v>
      </c>
      <c r="N88" s="23">
        <v>2181400</v>
      </c>
      <c r="O88" s="23">
        <v>18600</v>
      </c>
      <c r="P88" s="23">
        <v>121.1</v>
      </c>
      <c r="Q88" s="23">
        <v>-24.25</v>
      </c>
      <c r="R88" s="23">
        <v>38005600</v>
      </c>
      <c r="S88" s="23">
        <v>1424250</v>
      </c>
      <c r="T88" s="23">
        <v>839750</v>
      </c>
      <c r="V88" s="5"/>
      <c r="W88" s="5"/>
      <c r="X88" s="5"/>
      <c r="Y88" s="5"/>
      <c r="Z88" s="5"/>
      <c r="AA88" s="5"/>
      <c r="AB88" s="5"/>
      <c r="AC88" s="4" t="str">
        <f>IF(O163&gt;0,oiFNO!$O88-O163,"")</f>
        <v/>
      </c>
      <c r="AD88" s="5" t="str">
        <f t="shared" si="2"/>
        <v/>
      </c>
      <c r="AE88" s="5"/>
      <c r="AF88" s="5"/>
      <c r="AG88" s="5"/>
      <c r="AH88" s="5"/>
      <c r="AI88" s="5"/>
      <c r="AJ88" s="5"/>
      <c r="AK88" s="5"/>
      <c r="AL88" s="5"/>
      <c r="AM88" s="5"/>
    </row>
    <row r="89" spans="1:39" ht="15.75" customHeight="1">
      <c r="A89" s="8"/>
      <c r="B89" s="8"/>
      <c r="C89" s="5"/>
      <c r="D89" s="5"/>
      <c r="E89" s="5"/>
      <c r="F89" s="5"/>
      <c r="G89" s="5"/>
      <c r="H89" s="5" t="str">
        <f>optionchain!$J$2&amp; " " &amp;oiFNO!$O89</f>
        <v>44896 18650</v>
      </c>
      <c r="I89" s="5"/>
      <c r="J89" s="23">
        <v>35.799999999999997</v>
      </c>
      <c r="K89" s="23">
        <v>-8</v>
      </c>
      <c r="L89" s="23">
        <v>44112600</v>
      </c>
      <c r="M89" s="23">
        <v>1572500</v>
      </c>
      <c r="N89" s="23">
        <v>627000</v>
      </c>
      <c r="O89" s="23">
        <v>18650</v>
      </c>
      <c r="P89" s="23">
        <v>156</v>
      </c>
      <c r="Q89" s="23">
        <v>-20</v>
      </c>
      <c r="R89" s="23">
        <v>9134200</v>
      </c>
      <c r="S89" s="23">
        <v>301600</v>
      </c>
      <c r="T89" s="23">
        <v>166950</v>
      </c>
      <c r="V89" s="5"/>
      <c r="W89" s="5"/>
      <c r="X89" s="5"/>
      <c r="Y89" s="5"/>
      <c r="Z89" s="5"/>
      <c r="AA89" s="5"/>
      <c r="AB89" s="5"/>
      <c r="AC89" s="4" t="str">
        <f>IF(O164&gt;0,oiFNO!$O89-O164,"")</f>
        <v/>
      </c>
      <c r="AD89" s="5" t="str">
        <f t="shared" si="2"/>
        <v/>
      </c>
      <c r="AE89" s="5"/>
      <c r="AF89" s="5"/>
      <c r="AG89" s="5"/>
      <c r="AH89" s="5"/>
      <c r="AI89" s="5"/>
      <c r="AJ89" s="5"/>
      <c r="AK89" s="5"/>
      <c r="AL89" s="5"/>
      <c r="AM89" s="5"/>
    </row>
    <row r="90" spans="1:39" ht="15.75" customHeight="1">
      <c r="A90" s="8"/>
      <c r="B90" s="8"/>
      <c r="C90" s="5"/>
      <c r="D90" s="5"/>
      <c r="E90" s="5"/>
      <c r="F90" s="5"/>
      <c r="G90" s="5"/>
      <c r="H90" s="5" t="str">
        <f>optionchain!$J$2&amp; " " &amp;oiFNO!$O90</f>
        <v>44896 18700</v>
      </c>
      <c r="I90" s="5"/>
      <c r="J90" s="23">
        <v>24</v>
      </c>
      <c r="K90" s="23">
        <v>-7.95</v>
      </c>
      <c r="L90" s="23">
        <v>65454600</v>
      </c>
      <c r="M90" s="23">
        <v>3528300</v>
      </c>
      <c r="N90" s="23">
        <v>1419250</v>
      </c>
      <c r="O90" s="23">
        <v>18700</v>
      </c>
      <c r="P90" s="23">
        <v>190</v>
      </c>
      <c r="Q90" s="23">
        <v>-18.45</v>
      </c>
      <c r="R90" s="23">
        <v>10521800</v>
      </c>
      <c r="S90" s="23">
        <v>438800</v>
      </c>
      <c r="T90" s="23">
        <v>242550</v>
      </c>
      <c r="V90" s="5"/>
      <c r="W90" s="5"/>
      <c r="X90" s="5"/>
      <c r="Y90" s="5"/>
      <c r="Z90" s="5"/>
      <c r="AA90" s="5"/>
      <c r="AB90" s="5"/>
      <c r="AC90" s="4" t="str">
        <f>IF(O165&gt;0,oiFNO!$O90-O165,"")</f>
        <v/>
      </c>
      <c r="AD90" s="5" t="str">
        <f t="shared" si="2"/>
        <v/>
      </c>
      <c r="AE90" s="5"/>
      <c r="AF90" s="5"/>
      <c r="AG90" s="5"/>
      <c r="AH90" s="5"/>
      <c r="AI90" s="5"/>
      <c r="AJ90" s="5"/>
      <c r="AK90" s="5"/>
      <c r="AL90" s="5"/>
      <c r="AM90" s="5"/>
    </row>
    <row r="91" spans="1:39" ht="15.75" customHeight="1">
      <c r="A91" s="8"/>
      <c r="B91" s="8"/>
      <c r="C91" s="5"/>
      <c r="D91" s="5"/>
      <c r="E91" s="5"/>
      <c r="F91" s="5"/>
      <c r="G91" s="5"/>
      <c r="H91" s="5" t="str">
        <f>optionchain!$J$2&amp; " " &amp;oiFNO!$O91</f>
        <v>44896 18750</v>
      </c>
      <c r="I91" s="5"/>
      <c r="J91" s="23">
        <v>15</v>
      </c>
      <c r="K91" s="23">
        <v>-5.85</v>
      </c>
      <c r="L91" s="23">
        <v>29968400</v>
      </c>
      <c r="M91" s="23">
        <v>2052700</v>
      </c>
      <c r="N91" s="23">
        <v>891350</v>
      </c>
      <c r="O91" s="23">
        <v>18750</v>
      </c>
      <c r="P91" s="23">
        <v>234.2</v>
      </c>
      <c r="Q91" s="23">
        <v>-5.8</v>
      </c>
      <c r="R91" s="23">
        <v>1345200</v>
      </c>
      <c r="S91" s="23">
        <v>49900</v>
      </c>
      <c r="T91" s="23">
        <v>-10850</v>
      </c>
      <c r="V91" s="5"/>
      <c r="W91" s="5"/>
      <c r="X91" s="5"/>
      <c r="Y91" s="5"/>
      <c r="Z91" s="5"/>
      <c r="AA91" s="5"/>
      <c r="AB91" s="5"/>
      <c r="AC91" s="4" t="str">
        <f>IF(O166&gt;0,oiFNO!$O91-O166,"")</f>
        <v/>
      </c>
      <c r="AD91" s="5" t="str">
        <f t="shared" si="2"/>
        <v/>
      </c>
      <c r="AE91" s="5"/>
      <c r="AF91" s="5"/>
      <c r="AG91" s="5"/>
      <c r="AH91" s="5"/>
      <c r="AI91" s="5"/>
      <c r="AJ91" s="5"/>
      <c r="AK91" s="5"/>
      <c r="AL91" s="5"/>
      <c r="AM91" s="5"/>
    </row>
    <row r="92" spans="1:39" ht="15.75" customHeight="1">
      <c r="A92" s="8"/>
      <c r="B92" s="8"/>
      <c r="C92" s="5"/>
      <c r="D92" s="5"/>
      <c r="E92" s="5"/>
      <c r="F92" s="5"/>
      <c r="G92" s="5"/>
      <c r="H92" s="5" t="str">
        <f>optionchain!$J$2&amp; " " &amp;oiFNO!$O92</f>
        <v>44896 18800</v>
      </c>
      <c r="I92" s="5"/>
      <c r="J92" s="23">
        <v>9.1999999999999993</v>
      </c>
      <c r="K92" s="23">
        <v>-5.95</v>
      </c>
      <c r="L92" s="23">
        <v>51752200</v>
      </c>
      <c r="M92" s="23">
        <v>4191650</v>
      </c>
      <c r="N92" s="23">
        <v>2178800</v>
      </c>
      <c r="O92" s="23">
        <v>18800</v>
      </c>
      <c r="P92" s="23">
        <v>275.35000000000002</v>
      </c>
      <c r="Q92" s="23">
        <v>-12.15</v>
      </c>
      <c r="R92" s="23">
        <v>1639800</v>
      </c>
      <c r="S92" s="23">
        <v>85800</v>
      </c>
      <c r="T92" s="23">
        <v>39550</v>
      </c>
      <c r="V92" s="5"/>
      <c r="W92" s="5"/>
      <c r="X92" s="5"/>
      <c r="Y92" s="5"/>
      <c r="Z92" s="5"/>
      <c r="AA92" s="5"/>
      <c r="AB92" s="5"/>
      <c r="AC92" s="4" t="str">
        <f>IF(O167&gt;0,oiFNO!$O92-O167,"")</f>
        <v/>
      </c>
      <c r="AD92" s="5" t="str">
        <f t="shared" si="2"/>
        <v/>
      </c>
      <c r="AE92" s="5"/>
      <c r="AF92" s="5"/>
      <c r="AG92" s="5"/>
      <c r="AH92" s="5"/>
      <c r="AI92" s="5"/>
      <c r="AJ92" s="5"/>
      <c r="AK92" s="5"/>
      <c r="AL92" s="5"/>
      <c r="AM92" s="5"/>
    </row>
    <row r="93" spans="1:39" ht="15.75" customHeight="1">
      <c r="A93" s="8"/>
      <c r="B93" s="8"/>
      <c r="C93" s="5"/>
      <c r="D93" s="5"/>
      <c r="E93" s="5"/>
      <c r="F93" s="5"/>
      <c r="G93" s="5"/>
      <c r="H93" s="5" t="str">
        <f>optionchain!$J$2&amp; " " &amp;oiFNO!$O93</f>
        <v>44896 18850</v>
      </c>
      <c r="I93" s="5"/>
      <c r="J93" s="23">
        <v>5.7</v>
      </c>
      <c r="K93" s="23">
        <v>-4.45</v>
      </c>
      <c r="L93" s="23">
        <v>20861750</v>
      </c>
      <c r="M93" s="23">
        <v>2201950</v>
      </c>
      <c r="N93" s="23">
        <v>1053800</v>
      </c>
      <c r="O93" s="23">
        <v>18850</v>
      </c>
      <c r="P93" s="23">
        <v>325.35000000000002</v>
      </c>
      <c r="Q93" s="23">
        <v>-13.75</v>
      </c>
      <c r="R93" s="23">
        <v>132500</v>
      </c>
      <c r="S93" s="23">
        <v>15600</v>
      </c>
      <c r="T93" s="23">
        <v>12050</v>
      </c>
      <c r="V93" s="5"/>
      <c r="W93" s="5"/>
      <c r="X93" s="5"/>
      <c r="Y93" s="5"/>
      <c r="Z93" s="5"/>
      <c r="AA93" s="5"/>
      <c r="AB93" s="5"/>
      <c r="AC93" s="4" t="str">
        <f>IF(O168&gt;0,oiFNO!$O93-O168,"")</f>
        <v/>
      </c>
      <c r="AD93" s="5" t="str">
        <f t="shared" si="2"/>
        <v/>
      </c>
      <c r="AE93" s="5"/>
      <c r="AF93" s="5"/>
      <c r="AG93" s="5"/>
      <c r="AH93" s="5"/>
      <c r="AI93" s="5"/>
      <c r="AJ93" s="5"/>
      <c r="AK93" s="5"/>
      <c r="AL93" s="5"/>
      <c r="AM93" s="5"/>
    </row>
    <row r="94" spans="1:39" ht="15.75" customHeight="1">
      <c r="A94" s="8"/>
      <c r="B94" s="8"/>
      <c r="C94" s="5"/>
      <c r="D94" s="5"/>
      <c r="E94" s="5"/>
      <c r="F94" s="5"/>
      <c r="G94" s="5"/>
      <c r="H94" s="5" t="str">
        <f>optionchain!$J$2&amp; " " &amp;oiFNO!$O94</f>
        <v>44896 18900</v>
      </c>
      <c r="I94" s="5"/>
      <c r="J94" s="23">
        <v>4.05</v>
      </c>
      <c r="K94" s="23">
        <v>-3.25</v>
      </c>
      <c r="L94" s="23">
        <v>30950200</v>
      </c>
      <c r="M94" s="23">
        <v>3735250</v>
      </c>
      <c r="N94" s="23">
        <v>2068150</v>
      </c>
      <c r="O94" s="23">
        <v>18900</v>
      </c>
      <c r="P94" s="23">
        <v>369.85</v>
      </c>
      <c r="Q94" s="23">
        <v>-3.9</v>
      </c>
      <c r="R94" s="23">
        <v>278900</v>
      </c>
      <c r="S94" s="23">
        <v>26450</v>
      </c>
      <c r="T94" s="23">
        <v>10050</v>
      </c>
      <c r="V94" s="5"/>
      <c r="W94" s="5"/>
      <c r="X94" s="5"/>
      <c r="Y94" s="5"/>
      <c r="Z94" s="5"/>
      <c r="AA94" s="5"/>
      <c r="AB94" s="5"/>
      <c r="AC94" s="4" t="str">
        <f>IF(O169&gt;0,oiFNO!$O94-O169,"")</f>
        <v/>
      </c>
      <c r="AD94" s="5" t="str">
        <f t="shared" si="2"/>
        <v/>
      </c>
      <c r="AE94" s="5"/>
      <c r="AF94" s="5"/>
      <c r="AG94" s="5"/>
      <c r="AH94" s="5"/>
      <c r="AI94" s="5"/>
      <c r="AJ94" s="5"/>
      <c r="AK94" s="5"/>
      <c r="AL94" s="5"/>
      <c r="AM94" s="5"/>
    </row>
    <row r="95" spans="1:39" ht="15.75" customHeight="1">
      <c r="A95" s="8"/>
      <c r="B95" s="8"/>
      <c r="C95" s="5"/>
      <c r="D95" s="5"/>
      <c r="E95" s="5"/>
      <c r="F95" s="5"/>
      <c r="G95" s="5"/>
      <c r="H95" s="5" t="str">
        <f>optionchain!$J$2&amp; " " &amp;oiFNO!$O95</f>
        <v>44896 18950</v>
      </c>
      <c r="I95" s="5"/>
      <c r="J95" s="23">
        <v>3</v>
      </c>
      <c r="K95" s="23">
        <v>-2.4500000000000002</v>
      </c>
      <c r="L95" s="23">
        <v>12936650</v>
      </c>
      <c r="M95" s="23">
        <v>934500</v>
      </c>
      <c r="N95" s="23">
        <v>602800</v>
      </c>
      <c r="O95" s="23">
        <v>18950</v>
      </c>
      <c r="P95" s="23">
        <v>423.8</v>
      </c>
      <c r="Q95" s="23">
        <v>21.65</v>
      </c>
      <c r="R95" s="23">
        <v>26500</v>
      </c>
      <c r="S95" s="23">
        <v>5150</v>
      </c>
      <c r="T95" s="23">
        <v>5000</v>
      </c>
      <c r="V95" s="5"/>
      <c r="W95" s="5"/>
      <c r="X95" s="5"/>
      <c r="Y95" s="5"/>
      <c r="Z95" s="5"/>
      <c r="AA95" s="5"/>
      <c r="AB95" s="5"/>
      <c r="AC95" s="4" t="str">
        <f>IF(O170&gt;0,oiFNO!$O95-O170,"")</f>
        <v/>
      </c>
      <c r="AD95" s="5" t="str">
        <f t="shared" si="2"/>
        <v/>
      </c>
      <c r="AE95" s="5"/>
      <c r="AF95" s="5"/>
      <c r="AG95" s="5"/>
      <c r="AH95" s="5"/>
      <c r="AI95" s="5"/>
      <c r="AJ95" s="5"/>
      <c r="AK95" s="5"/>
      <c r="AL95" s="5"/>
      <c r="AM95" s="5"/>
    </row>
    <row r="96" spans="1:39" ht="15.75" customHeight="1">
      <c r="A96" s="8"/>
      <c r="B96" s="8"/>
      <c r="C96" s="5"/>
      <c r="D96" s="5"/>
      <c r="E96" s="5"/>
      <c r="F96" s="5"/>
      <c r="G96" s="5"/>
      <c r="H96" s="5" t="str">
        <f>optionchain!$J$2&amp; " " &amp;oiFNO!$O96</f>
        <v>44896 19000</v>
      </c>
      <c r="I96" s="5"/>
      <c r="J96" s="23">
        <v>2.7</v>
      </c>
      <c r="K96" s="23">
        <v>-1.6</v>
      </c>
      <c r="L96" s="23">
        <v>38977350</v>
      </c>
      <c r="M96" s="23">
        <v>7804750</v>
      </c>
      <c r="N96" s="23">
        <v>4202900</v>
      </c>
      <c r="O96" s="23">
        <v>19000</v>
      </c>
      <c r="P96" s="23">
        <v>472</v>
      </c>
      <c r="Q96" s="23">
        <v>-0.8</v>
      </c>
      <c r="R96" s="23">
        <v>535850</v>
      </c>
      <c r="S96" s="23">
        <v>224650</v>
      </c>
      <c r="T96" s="23">
        <v>133300</v>
      </c>
      <c r="V96" s="5"/>
      <c r="W96" s="5"/>
      <c r="X96" s="5"/>
      <c r="Y96" s="5"/>
      <c r="Z96" s="5"/>
      <c r="AA96" s="5"/>
      <c r="AB96" s="5"/>
      <c r="AC96" s="4" t="str">
        <f>IF(O171&gt;0,oiFNO!$O96-O171,"")</f>
        <v/>
      </c>
      <c r="AD96" s="5" t="str">
        <f t="shared" si="2"/>
        <v/>
      </c>
      <c r="AE96" s="5"/>
      <c r="AF96" s="5"/>
      <c r="AG96" s="5"/>
      <c r="AH96" s="5"/>
      <c r="AI96" s="5"/>
      <c r="AJ96" s="5"/>
      <c r="AK96" s="5"/>
      <c r="AL96" s="5"/>
      <c r="AM96" s="5"/>
    </row>
    <row r="97" spans="1:39" ht="15.75" customHeight="1">
      <c r="A97" s="8"/>
      <c r="B97" s="8"/>
      <c r="C97" s="5"/>
      <c r="D97" s="5"/>
      <c r="E97" s="5"/>
      <c r="F97" s="5"/>
      <c r="G97" s="5"/>
      <c r="H97" s="5" t="str">
        <f>optionchain!$J$2&amp; " " &amp;oiFNO!$O97</f>
        <v>44896 19050</v>
      </c>
      <c r="I97" s="5"/>
      <c r="J97" s="23">
        <v>2.15</v>
      </c>
      <c r="K97" s="23">
        <v>-1.3</v>
      </c>
      <c r="L97" s="23">
        <v>8216700</v>
      </c>
      <c r="M97" s="23">
        <v>927500</v>
      </c>
      <c r="N97" s="23">
        <v>671100</v>
      </c>
      <c r="O97" s="23">
        <v>19050</v>
      </c>
      <c r="P97" s="23">
        <v>530.85</v>
      </c>
      <c r="Q97" s="23">
        <v>-923.85</v>
      </c>
      <c r="R97" s="23">
        <v>2450</v>
      </c>
      <c r="S97" s="23">
        <v>700</v>
      </c>
      <c r="T97" s="23">
        <v>700</v>
      </c>
      <c r="V97" s="5"/>
      <c r="W97" s="5"/>
      <c r="X97" s="5"/>
      <c r="Y97" s="5"/>
      <c r="Z97" s="5"/>
      <c r="AA97" s="5"/>
      <c r="AB97" s="5"/>
      <c r="AC97" s="4" t="str">
        <f>IF(O172&gt;0,oiFNO!$O97-O172,"")</f>
        <v/>
      </c>
      <c r="AD97" s="5" t="str">
        <f t="shared" si="2"/>
        <v/>
      </c>
      <c r="AE97" s="5"/>
      <c r="AF97" s="5"/>
      <c r="AG97" s="5"/>
      <c r="AH97" s="5"/>
      <c r="AI97" s="5"/>
      <c r="AJ97" s="5"/>
      <c r="AK97" s="5"/>
      <c r="AL97" s="5"/>
      <c r="AM97" s="5"/>
    </row>
    <row r="98" spans="1:39" ht="15.75" customHeight="1">
      <c r="A98" s="8"/>
      <c r="B98" s="8"/>
      <c r="C98" s="5"/>
      <c r="D98" s="5"/>
      <c r="E98" s="5"/>
      <c r="F98" s="5"/>
      <c r="G98" s="5"/>
      <c r="H98" s="5" t="str">
        <f>optionchain!$J$2&amp; " " &amp;oiFNO!$O98</f>
        <v>44896 19100</v>
      </c>
      <c r="I98" s="5"/>
      <c r="J98" s="23">
        <v>2.0499999999999998</v>
      </c>
      <c r="K98" s="23">
        <v>-0.95</v>
      </c>
      <c r="L98" s="23">
        <v>16028550</v>
      </c>
      <c r="M98" s="23">
        <v>2054000</v>
      </c>
      <c r="N98" s="23">
        <v>1210700</v>
      </c>
      <c r="O98" s="23">
        <v>19100</v>
      </c>
      <c r="P98" s="23">
        <v>571.6</v>
      </c>
      <c r="Q98" s="23">
        <v>16.399999999999999</v>
      </c>
      <c r="R98" s="23">
        <v>17600</v>
      </c>
      <c r="S98" s="23">
        <v>3600</v>
      </c>
      <c r="T98" s="23">
        <v>3350</v>
      </c>
      <c r="V98" s="5"/>
      <c r="W98" s="5"/>
      <c r="X98" s="5"/>
      <c r="Y98" s="5"/>
      <c r="Z98" s="5"/>
      <c r="AA98" s="5"/>
      <c r="AB98" s="5"/>
      <c r="AC98" s="4" t="str">
        <f>IF(O173&gt;0,oiFNO!$O98-O173,"")</f>
        <v/>
      </c>
      <c r="AD98" s="5" t="str">
        <f t="shared" si="2"/>
        <v/>
      </c>
      <c r="AE98" s="5"/>
      <c r="AF98" s="5"/>
      <c r="AG98" s="5"/>
      <c r="AH98" s="5"/>
      <c r="AI98" s="5"/>
      <c r="AJ98" s="5"/>
      <c r="AK98" s="5"/>
      <c r="AL98" s="5"/>
      <c r="AM98" s="5"/>
    </row>
    <row r="99" spans="1:39" ht="15.75" customHeight="1">
      <c r="A99" s="8"/>
      <c r="B99" s="8"/>
      <c r="C99" s="5"/>
      <c r="D99" s="5"/>
      <c r="E99" s="5"/>
      <c r="F99" s="5"/>
      <c r="G99" s="5"/>
      <c r="H99" s="5" t="str">
        <f>optionchain!$J$2&amp; " " &amp;oiFNO!$O99</f>
        <v>44896 19150</v>
      </c>
      <c r="I99" s="5"/>
      <c r="J99" s="23">
        <v>1.65</v>
      </c>
      <c r="K99" s="23">
        <v>-1</v>
      </c>
      <c r="L99" s="23">
        <v>4731200</v>
      </c>
      <c r="M99" s="23">
        <v>388850</v>
      </c>
      <c r="N99" s="23">
        <v>232100</v>
      </c>
      <c r="O99" s="23">
        <v>19150</v>
      </c>
      <c r="P99" s="23"/>
      <c r="Q99" s="23"/>
      <c r="R99" s="23"/>
      <c r="S99" s="23"/>
      <c r="T99" s="23"/>
      <c r="V99" s="5"/>
      <c r="W99" s="5"/>
      <c r="X99" s="5"/>
      <c r="Y99" s="5"/>
      <c r="Z99" s="5"/>
      <c r="AA99" s="5"/>
      <c r="AB99" s="5"/>
      <c r="AC99" s="4" t="str">
        <f>IF(O174&gt;0,oiFNO!$O99-O174,"")</f>
        <v/>
      </c>
      <c r="AD99" s="5" t="str">
        <f t="shared" si="2"/>
        <v/>
      </c>
      <c r="AE99" s="5"/>
      <c r="AF99" s="5"/>
      <c r="AG99" s="5"/>
      <c r="AH99" s="5"/>
      <c r="AI99" s="5"/>
      <c r="AJ99" s="5"/>
      <c r="AK99" s="5"/>
      <c r="AL99" s="5"/>
      <c r="AM99" s="5"/>
    </row>
    <row r="100" spans="1:39" ht="15.75" customHeight="1">
      <c r="A100" s="8"/>
      <c r="B100" s="8"/>
      <c r="C100" s="5"/>
      <c r="D100" s="5"/>
      <c r="E100" s="5"/>
      <c r="F100" s="5"/>
      <c r="G100" s="5"/>
      <c r="H100" s="5" t="str">
        <f>optionchain!$J$2&amp; " " &amp;oiFNO!$O100</f>
        <v>44896 19200</v>
      </c>
      <c r="I100" s="5"/>
      <c r="J100" s="23">
        <v>1.6</v>
      </c>
      <c r="K100" s="23">
        <v>-0.85</v>
      </c>
      <c r="L100" s="23">
        <v>13450450</v>
      </c>
      <c r="M100" s="23">
        <v>2441800</v>
      </c>
      <c r="N100" s="23">
        <v>1022850</v>
      </c>
      <c r="O100" s="23">
        <v>19200</v>
      </c>
      <c r="P100" s="23">
        <v>668.15</v>
      </c>
      <c r="Q100" s="23">
        <v>-4.7</v>
      </c>
      <c r="R100" s="23">
        <v>4700</v>
      </c>
      <c r="S100" s="23">
        <v>1750</v>
      </c>
      <c r="T100" s="23">
        <v>950</v>
      </c>
      <c r="V100" s="5"/>
      <c r="W100" s="5"/>
      <c r="X100" s="5"/>
      <c r="Y100" s="5"/>
      <c r="Z100" s="5"/>
      <c r="AA100" s="5"/>
      <c r="AB100" s="5"/>
      <c r="AC100" s="4" t="str">
        <f>IF(O175&gt;0,oiFNO!$O100-O175,"")</f>
        <v/>
      </c>
      <c r="AD100" s="5" t="str">
        <f t="shared" si="2"/>
        <v/>
      </c>
      <c r="AE100" s="5"/>
      <c r="AF100" s="5"/>
      <c r="AG100" s="5"/>
      <c r="AH100" s="5"/>
      <c r="AI100" s="5"/>
      <c r="AJ100" s="5"/>
      <c r="AK100" s="5"/>
      <c r="AL100" s="5"/>
      <c r="AM100" s="5"/>
    </row>
    <row r="101" spans="1:39" ht="15.75" customHeight="1">
      <c r="A101" s="8"/>
      <c r="B101" s="8"/>
      <c r="C101" s="5"/>
      <c r="D101" s="5"/>
      <c r="E101" s="5"/>
      <c r="F101" s="5"/>
      <c r="G101" s="5"/>
      <c r="H101" s="5" t="str">
        <f>optionchain!$J$2&amp; " " &amp;oiFNO!$O101</f>
        <v>44896 19250</v>
      </c>
      <c r="I101" s="5"/>
      <c r="J101" s="23">
        <v>1.9</v>
      </c>
      <c r="K101" s="23">
        <v>-0.45</v>
      </c>
      <c r="L101" s="23">
        <v>1702050</v>
      </c>
      <c r="M101" s="23">
        <v>158750</v>
      </c>
      <c r="N101" s="23">
        <v>-16200</v>
      </c>
      <c r="O101" s="23">
        <v>19250</v>
      </c>
      <c r="P101" s="23">
        <v>758.95</v>
      </c>
      <c r="Q101" s="23">
        <v>-850.65</v>
      </c>
      <c r="R101" s="23">
        <v>1200</v>
      </c>
      <c r="S101" s="23">
        <v>1200</v>
      </c>
      <c r="T101" s="23">
        <v>1200</v>
      </c>
      <c r="V101" s="5"/>
      <c r="W101" s="5"/>
      <c r="X101" s="5"/>
      <c r="Y101" s="5"/>
      <c r="Z101" s="5"/>
      <c r="AA101" s="5"/>
      <c r="AB101" s="5"/>
      <c r="AC101" s="4" t="str">
        <f>IF(O176&gt;0,oiFNO!$O101-O176,"")</f>
        <v/>
      </c>
      <c r="AD101" s="5" t="str">
        <f t="shared" si="2"/>
        <v/>
      </c>
      <c r="AE101" s="5"/>
      <c r="AF101" s="5"/>
      <c r="AG101" s="5"/>
      <c r="AH101" s="5"/>
      <c r="AI101" s="5"/>
      <c r="AJ101" s="5"/>
      <c r="AK101" s="5"/>
      <c r="AL101" s="5"/>
      <c r="AM101" s="5"/>
    </row>
    <row r="102" spans="1:39" ht="15.75" customHeight="1">
      <c r="A102" s="8"/>
      <c r="B102" s="8"/>
      <c r="C102" s="5"/>
      <c r="D102" s="5"/>
      <c r="E102" s="5"/>
      <c r="F102" s="5"/>
      <c r="G102" s="5"/>
      <c r="H102" s="5" t="str">
        <f>optionchain!$J$2&amp; " " &amp;oiFNO!$O102</f>
        <v>44896 19300</v>
      </c>
      <c r="I102" s="5"/>
      <c r="J102" s="23">
        <v>1.75</v>
      </c>
      <c r="K102" s="23">
        <v>-0.5</v>
      </c>
      <c r="L102" s="23">
        <v>7789900</v>
      </c>
      <c r="M102" s="23">
        <v>2639650</v>
      </c>
      <c r="N102" s="23">
        <v>445900</v>
      </c>
      <c r="O102" s="23">
        <v>19300</v>
      </c>
      <c r="P102" s="23">
        <v>771.45</v>
      </c>
      <c r="Q102" s="23">
        <v>2.65</v>
      </c>
      <c r="R102" s="23">
        <v>3450</v>
      </c>
      <c r="S102" s="23">
        <v>700</v>
      </c>
      <c r="T102" s="23">
        <v>-350</v>
      </c>
      <c r="V102" s="5"/>
      <c r="W102" s="5"/>
      <c r="X102" s="5"/>
      <c r="Y102" s="5"/>
      <c r="Z102" s="5"/>
      <c r="AA102" s="5"/>
      <c r="AB102" s="5"/>
      <c r="AC102" s="4" t="str">
        <f>IF(O177&gt;0,oiFNO!$O102-O177,"")</f>
        <v/>
      </c>
      <c r="AD102" s="5" t="str">
        <f t="shared" si="2"/>
        <v/>
      </c>
      <c r="AE102" s="5"/>
      <c r="AF102" s="5"/>
      <c r="AG102" s="5"/>
      <c r="AH102" s="5"/>
      <c r="AI102" s="5"/>
      <c r="AJ102" s="5"/>
      <c r="AK102" s="5"/>
      <c r="AL102" s="5"/>
      <c r="AM102" s="5"/>
    </row>
    <row r="103" spans="1:39" ht="15.75" customHeight="1">
      <c r="A103" s="8"/>
      <c r="B103" s="8"/>
      <c r="C103" s="5"/>
      <c r="D103" s="5"/>
      <c r="E103" s="5"/>
      <c r="F103" s="5"/>
      <c r="G103" s="5"/>
      <c r="H103" s="5" t="str">
        <f>optionchain!$J$2&amp; " " &amp;oiFNO!$O103</f>
        <v>44896 19350</v>
      </c>
      <c r="I103" s="5"/>
      <c r="J103" s="23">
        <v>1.65</v>
      </c>
      <c r="K103" s="23">
        <v>-0.4</v>
      </c>
      <c r="L103" s="23">
        <v>650600</v>
      </c>
      <c r="M103" s="23">
        <v>61950</v>
      </c>
      <c r="N103" s="23">
        <v>20650</v>
      </c>
      <c r="O103" s="23">
        <v>19350</v>
      </c>
      <c r="P103" s="23"/>
      <c r="Q103" s="23"/>
      <c r="R103" s="23"/>
      <c r="S103" s="23"/>
      <c r="T103" s="23"/>
      <c r="V103" s="5"/>
      <c r="W103" s="5"/>
      <c r="X103" s="5"/>
      <c r="Y103" s="5"/>
      <c r="Z103" s="5"/>
      <c r="AA103" s="5"/>
      <c r="AB103" s="5"/>
      <c r="AC103" s="4" t="str">
        <f>IF(O178&gt;0,oiFNO!$O103-O178,"")</f>
        <v/>
      </c>
      <c r="AD103" s="5" t="str">
        <f t="shared" si="2"/>
        <v/>
      </c>
      <c r="AE103" s="5"/>
      <c r="AF103" s="5"/>
      <c r="AG103" s="5"/>
      <c r="AH103" s="5"/>
      <c r="AI103" s="5"/>
      <c r="AJ103" s="5"/>
      <c r="AK103" s="5"/>
      <c r="AL103" s="5"/>
      <c r="AM103" s="5"/>
    </row>
    <row r="104" spans="1:39" ht="15.75" customHeight="1">
      <c r="A104" s="8"/>
      <c r="B104" s="8"/>
      <c r="C104" s="5"/>
      <c r="D104" s="5"/>
      <c r="E104" s="5"/>
      <c r="F104" s="5"/>
      <c r="G104" s="5"/>
      <c r="H104" s="5" t="str">
        <f>optionchain!$J$2&amp; " " &amp;oiFNO!$O104</f>
        <v>44896 19400</v>
      </c>
      <c r="I104" s="5"/>
      <c r="J104" s="23">
        <v>1.25</v>
      </c>
      <c r="K104" s="23">
        <v>-0.8</v>
      </c>
      <c r="L104" s="23">
        <v>6870750</v>
      </c>
      <c r="M104" s="23">
        <v>1134650</v>
      </c>
      <c r="N104" s="23">
        <v>-620750</v>
      </c>
      <c r="O104" s="23">
        <v>19400</v>
      </c>
      <c r="P104" s="23"/>
      <c r="Q104" s="23"/>
      <c r="R104" s="23"/>
      <c r="S104" s="23"/>
      <c r="T104" s="23"/>
      <c r="V104" s="5"/>
      <c r="W104" s="5"/>
      <c r="X104" s="5"/>
      <c r="Y104" s="5"/>
      <c r="Z104" s="5"/>
      <c r="AA104" s="5"/>
      <c r="AB104" s="5"/>
      <c r="AC104" s="4" t="str">
        <f>IF(O179&gt;0,oiFNO!$O104-O179,"")</f>
        <v/>
      </c>
      <c r="AD104" s="5" t="str">
        <f t="shared" si="2"/>
        <v/>
      </c>
      <c r="AE104" s="5"/>
      <c r="AF104" s="5"/>
      <c r="AG104" s="5"/>
      <c r="AH104" s="5"/>
      <c r="AI104" s="5"/>
      <c r="AJ104" s="5"/>
      <c r="AK104" s="5"/>
      <c r="AL104" s="5"/>
      <c r="AM104" s="5"/>
    </row>
    <row r="105" spans="1:39" ht="15.75" customHeight="1">
      <c r="A105" s="8"/>
      <c r="B105" s="8"/>
      <c r="C105" s="5"/>
      <c r="D105" s="5"/>
      <c r="E105" s="5"/>
      <c r="F105" s="5"/>
      <c r="G105" s="5"/>
      <c r="H105" s="5" t="str">
        <f>optionchain!$J$2&amp; " " &amp;oiFNO!$O105</f>
        <v>44896 19450</v>
      </c>
      <c r="I105" s="5"/>
      <c r="J105" s="23">
        <v>1.2</v>
      </c>
      <c r="K105" s="23">
        <v>-0.55000000000000004</v>
      </c>
      <c r="L105" s="23">
        <v>484350</v>
      </c>
      <c r="M105" s="23">
        <v>29700</v>
      </c>
      <c r="N105" s="23">
        <v>20250</v>
      </c>
      <c r="O105" s="23">
        <v>19450</v>
      </c>
      <c r="P105" s="23">
        <v>924.7</v>
      </c>
      <c r="Q105" s="23">
        <v>-846.5</v>
      </c>
      <c r="R105" s="23">
        <v>2150</v>
      </c>
      <c r="S105" s="23">
        <v>2000</v>
      </c>
      <c r="T105" s="23">
        <v>2000</v>
      </c>
      <c r="V105" s="5"/>
      <c r="W105" s="5"/>
      <c r="X105" s="5"/>
      <c r="Y105" s="5"/>
      <c r="Z105" s="5"/>
      <c r="AA105" s="5"/>
      <c r="AB105" s="5"/>
      <c r="AC105" s="4" t="str">
        <f>IF(O180&gt;0,oiFNO!$O105-O180,"")</f>
        <v/>
      </c>
      <c r="AD105" s="5" t="str">
        <f t="shared" si="2"/>
        <v/>
      </c>
      <c r="AE105" s="5"/>
      <c r="AF105" s="5"/>
      <c r="AG105" s="5"/>
      <c r="AH105" s="5"/>
      <c r="AI105" s="5"/>
      <c r="AJ105" s="5"/>
      <c r="AK105" s="5"/>
      <c r="AL105" s="5"/>
      <c r="AM105" s="5"/>
    </row>
    <row r="106" spans="1:39" ht="15.75" customHeight="1">
      <c r="A106" s="8"/>
      <c r="B106" s="8"/>
      <c r="C106" s="5"/>
      <c r="D106" s="5"/>
      <c r="E106" s="5"/>
      <c r="F106" s="5"/>
      <c r="G106" s="5"/>
      <c r="H106" s="5" t="str">
        <f>optionchain!$J$2&amp; " " &amp;oiFNO!$O106</f>
        <v>44896 19500</v>
      </c>
      <c r="I106" s="5"/>
      <c r="J106" s="23">
        <v>1.2</v>
      </c>
      <c r="K106" s="23">
        <v>-0.5</v>
      </c>
      <c r="L106" s="23">
        <v>13557750</v>
      </c>
      <c r="M106" s="23">
        <v>3542900</v>
      </c>
      <c r="N106" s="23">
        <v>1642050</v>
      </c>
      <c r="O106" s="23">
        <v>19500</v>
      </c>
      <c r="P106" s="23">
        <v>968</v>
      </c>
      <c r="Q106" s="23">
        <v>-30.3</v>
      </c>
      <c r="R106" s="23">
        <v>2850</v>
      </c>
      <c r="S106" s="23">
        <v>3650</v>
      </c>
      <c r="T106" s="23">
        <v>400</v>
      </c>
      <c r="V106" s="5"/>
      <c r="W106" s="5"/>
      <c r="X106" s="5"/>
      <c r="Y106" s="5"/>
      <c r="Z106" s="5"/>
      <c r="AA106" s="5"/>
      <c r="AB106" s="5"/>
      <c r="AC106" s="4" t="str">
        <f>IF(O181&gt;0,oiFNO!$O106-O181,"")</f>
        <v/>
      </c>
      <c r="AD106" s="5" t="str">
        <f t="shared" si="2"/>
        <v/>
      </c>
      <c r="AE106" s="5"/>
      <c r="AF106" s="5"/>
      <c r="AG106" s="5"/>
      <c r="AH106" s="5"/>
      <c r="AI106" s="5"/>
      <c r="AJ106" s="5"/>
      <c r="AK106" s="5"/>
      <c r="AL106" s="5"/>
      <c r="AM106" s="5"/>
    </row>
    <row r="107" spans="1:39" ht="15.75" customHeight="1">
      <c r="A107" s="8"/>
      <c r="B107" s="8"/>
      <c r="C107" s="5"/>
      <c r="D107" s="5"/>
      <c r="E107" s="5"/>
      <c r="F107" s="5"/>
      <c r="G107" s="5"/>
      <c r="H107" s="5" t="str">
        <f>optionchain!$J$2&amp; " " &amp;oiFNO!$O107</f>
        <v>44896 19550</v>
      </c>
      <c r="I107" s="5"/>
      <c r="J107" s="23">
        <v>1</v>
      </c>
      <c r="K107" s="23">
        <v>-0.6</v>
      </c>
      <c r="L107" s="23">
        <v>282200</v>
      </c>
      <c r="M107" s="23">
        <v>29650</v>
      </c>
      <c r="N107" s="23">
        <v>24650</v>
      </c>
      <c r="O107" s="23">
        <v>19550</v>
      </c>
      <c r="P107" s="23"/>
      <c r="Q107" s="23"/>
      <c r="R107" s="23"/>
      <c r="S107" s="23"/>
      <c r="T107" s="23"/>
      <c r="V107" s="5"/>
      <c r="W107" s="5"/>
      <c r="X107" s="5"/>
      <c r="Y107" s="5"/>
      <c r="Z107" s="5"/>
      <c r="AA107" s="5"/>
      <c r="AB107" s="5"/>
      <c r="AC107" s="4" t="str">
        <f>IF(O182&gt;0,oiFNO!$O107-O182,"")</f>
        <v/>
      </c>
      <c r="AD107" s="5" t="str">
        <f t="shared" si="2"/>
        <v/>
      </c>
      <c r="AE107" s="5"/>
      <c r="AF107" s="5"/>
      <c r="AG107" s="5"/>
      <c r="AH107" s="5"/>
      <c r="AI107" s="5"/>
      <c r="AJ107" s="5"/>
      <c r="AK107" s="5"/>
      <c r="AL107" s="5"/>
      <c r="AM107" s="5"/>
    </row>
    <row r="108" spans="1:39" ht="15.75" customHeight="1">
      <c r="A108" s="8"/>
      <c r="B108" s="8"/>
      <c r="C108" s="5"/>
      <c r="D108" s="5"/>
      <c r="E108" s="5"/>
      <c r="F108" s="5"/>
      <c r="G108" s="5"/>
      <c r="H108" s="5" t="str">
        <f>optionchain!$J$2&amp; " " &amp;oiFNO!$O108</f>
        <v>44896 19600</v>
      </c>
      <c r="I108" s="5"/>
      <c r="J108" s="23">
        <v>0.9</v>
      </c>
      <c r="K108" s="23">
        <v>-0.65</v>
      </c>
      <c r="L108" s="23">
        <v>1598000</v>
      </c>
      <c r="M108" s="23">
        <v>287650</v>
      </c>
      <c r="N108" s="23">
        <v>185250</v>
      </c>
      <c r="O108" s="23">
        <v>19600</v>
      </c>
      <c r="P108" s="23"/>
      <c r="Q108" s="23"/>
      <c r="R108" s="23"/>
      <c r="S108" s="23"/>
      <c r="T108" s="23"/>
      <c r="V108" s="5"/>
      <c r="W108" s="5"/>
      <c r="X108" s="5"/>
      <c r="Y108" s="5"/>
      <c r="Z108" s="5"/>
      <c r="AA108" s="5"/>
      <c r="AB108" s="5"/>
      <c r="AC108" s="4" t="str">
        <f>IF(O183&gt;0,oiFNO!$O108-O183,"")</f>
        <v/>
      </c>
      <c r="AD108" s="5" t="str">
        <f t="shared" si="2"/>
        <v/>
      </c>
      <c r="AE108" s="5"/>
      <c r="AF108" s="5"/>
      <c r="AG108" s="5"/>
      <c r="AH108" s="5"/>
      <c r="AI108" s="5"/>
      <c r="AJ108" s="5"/>
      <c r="AK108" s="5"/>
      <c r="AL108" s="5"/>
      <c r="AM108" s="5"/>
    </row>
    <row r="109" spans="1:39" ht="15.75" customHeight="1">
      <c r="A109" s="8"/>
      <c r="B109" s="8"/>
      <c r="C109" s="5"/>
      <c r="D109" s="5"/>
      <c r="E109" s="5"/>
      <c r="F109" s="5"/>
      <c r="G109" s="5"/>
      <c r="H109" s="5" t="str">
        <f>optionchain!$J$2&amp; " " &amp;oiFNO!$O109</f>
        <v>44896 19650</v>
      </c>
      <c r="I109" s="5"/>
      <c r="J109" s="23">
        <v>0.95</v>
      </c>
      <c r="K109" s="23">
        <v>-0.5</v>
      </c>
      <c r="L109" s="23">
        <v>278950</v>
      </c>
      <c r="M109" s="23">
        <v>23200</v>
      </c>
      <c r="N109" s="23">
        <v>15050</v>
      </c>
      <c r="O109" s="23">
        <v>19650</v>
      </c>
      <c r="P109" s="23">
        <v>1299.05</v>
      </c>
      <c r="Q109" s="23"/>
      <c r="R109" s="23"/>
      <c r="S109" s="23">
        <v>100</v>
      </c>
      <c r="T109" s="23"/>
      <c r="V109" s="5"/>
      <c r="W109" s="5"/>
      <c r="X109" s="5"/>
      <c r="Y109" s="5"/>
      <c r="Z109" s="5"/>
      <c r="AA109" s="5"/>
      <c r="AB109" s="5"/>
      <c r="AC109" s="4" t="str">
        <f>IF(O184&gt;0,oiFNO!$O109-O184,"")</f>
        <v/>
      </c>
      <c r="AD109" s="5" t="str">
        <f t="shared" si="2"/>
        <v/>
      </c>
      <c r="AE109" s="5"/>
      <c r="AF109" s="5"/>
      <c r="AG109" s="5"/>
      <c r="AH109" s="5"/>
      <c r="AI109" s="5"/>
      <c r="AJ109" s="5"/>
      <c r="AK109" s="5"/>
      <c r="AL109" s="5"/>
      <c r="AM109" s="5"/>
    </row>
    <row r="110" spans="1:39" ht="15.75" customHeight="1">
      <c r="A110" s="8"/>
      <c r="B110" s="8"/>
      <c r="C110" s="5"/>
      <c r="D110" s="5"/>
      <c r="E110" s="5"/>
      <c r="F110" s="5"/>
      <c r="G110" s="5"/>
      <c r="H110" s="5" t="str">
        <f>optionchain!$J$2&amp; " " &amp;oiFNO!$O110</f>
        <v>44896 19700</v>
      </c>
      <c r="I110" s="5"/>
      <c r="J110" s="23">
        <v>0.7</v>
      </c>
      <c r="K110" s="23">
        <v>-0.5</v>
      </c>
      <c r="L110" s="23">
        <v>2725100</v>
      </c>
      <c r="M110" s="23">
        <v>829250</v>
      </c>
      <c r="N110" s="23">
        <v>616800</v>
      </c>
      <c r="O110" s="23">
        <v>19700</v>
      </c>
      <c r="P110" s="23"/>
      <c r="Q110" s="23"/>
      <c r="R110" s="23"/>
      <c r="S110" s="23"/>
      <c r="T110" s="23"/>
      <c r="V110" s="5"/>
      <c r="W110" s="5"/>
      <c r="X110" s="5"/>
      <c r="Y110" s="5"/>
      <c r="Z110" s="5"/>
      <c r="AA110" s="5"/>
      <c r="AB110" s="5"/>
      <c r="AC110" s="4" t="str">
        <f>IF(O185&gt;0,oiFNO!$O110-O185,"")</f>
        <v/>
      </c>
      <c r="AD110" s="5" t="str">
        <f t="shared" si="2"/>
        <v/>
      </c>
      <c r="AE110" s="5"/>
      <c r="AF110" s="5"/>
      <c r="AG110" s="5"/>
      <c r="AH110" s="5"/>
      <c r="AI110" s="5"/>
      <c r="AJ110" s="5"/>
      <c r="AK110" s="5"/>
      <c r="AL110" s="5"/>
      <c r="AM110" s="5"/>
    </row>
    <row r="111" spans="1:39" ht="15.75" customHeight="1">
      <c r="A111" s="8"/>
      <c r="B111" s="8"/>
      <c r="C111" s="5"/>
      <c r="D111" s="5"/>
      <c r="E111" s="5"/>
      <c r="F111" s="5"/>
      <c r="G111" s="5"/>
      <c r="H111" s="5" t="str">
        <f>optionchain!$J$2&amp; " " &amp;oiFNO!$O111</f>
        <v>44896 19750</v>
      </c>
      <c r="I111" s="5"/>
      <c r="J111" s="23">
        <v>0.75</v>
      </c>
      <c r="K111" s="23">
        <v>-0.55000000000000004</v>
      </c>
      <c r="L111" s="23">
        <v>173850</v>
      </c>
      <c r="M111" s="23">
        <v>36550</v>
      </c>
      <c r="N111" s="23">
        <v>21700</v>
      </c>
      <c r="O111" s="23">
        <v>19750</v>
      </c>
      <c r="P111" s="23"/>
      <c r="Q111" s="23"/>
      <c r="R111" s="23"/>
      <c r="S111" s="23"/>
      <c r="T111" s="23"/>
      <c r="V111" s="5"/>
      <c r="W111" s="5"/>
      <c r="X111" s="5"/>
      <c r="Y111" s="5"/>
      <c r="Z111" s="5"/>
      <c r="AA111" s="5"/>
      <c r="AB111" s="5"/>
      <c r="AC111" s="4" t="str">
        <f>IF(O186&gt;0,oiFNO!$O111-O186,"")</f>
        <v/>
      </c>
      <c r="AD111" s="5" t="str">
        <f t="shared" si="2"/>
        <v/>
      </c>
      <c r="AE111" s="5"/>
      <c r="AF111" s="5"/>
      <c r="AG111" s="5"/>
      <c r="AH111" s="5"/>
      <c r="AI111" s="5"/>
      <c r="AJ111" s="5"/>
      <c r="AK111" s="5"/>
      <c r="AL111" s="5"/>
      <c r="AM111" s="5"/>
    </row>
    <row r="112" spans="1:39" ht="15.75" customHeight="1">
      <c r="A112" s="8"/>
      <c r="B112" s="8"/>
      <c r="C112" s="5"/>
      <c r="D112" s="5"/>
      <c r="E112" s="5"/>
      <c r="F112" s="5"/>
      <c r="G112" s="5"/>
      <c r="H112" s="5" t="str">
        <f>optionchain!$J$2&amp; " " &amp;oiFNO!$O112</f>
        <v>44896 19800</v>
      </c>
      <c r="I112" s="5"/>
      <c r="J112" s="23">
        <v>0.7</v>
      </c>
      <c r="K112" s="23">
        <v>-0.5</v>
      </c>
      <c r="L112" s="23">
        <v>2606200</v>
      </c>
      <c r="M112" s="23">
        <v>881300</v>
      </c>
      <c r="N112" s="23">
        <v>435800</v>
      </c>
      <c r="O112" s="23">
        <v>19800</v>
      </c>
      <c r="P112" s="23"/>
      <c r="Q112" s="23"/>
      <c r="R112" s="23"/>
      <c r="S112" s="23"/>
      <c r="T112" s="23"/>
      <c r="V112" s="5"/>
      <c r="W112" s="5"/>
      <c r="X112" s="5"/>
      <c r="Y112" s="5"/>
      <c r="Z112" s="5"/>
      <c r="AA112" s="5"/>
      <c r="AB112" s="5"/>
      <c r="AC112" s="4" t="str">
        <f>IF(O187&gt;0,oiFNO!$O112-O187,"")</f>
        <v/>
      </c>
      <c r="AD112" s="5" t="str">
        <f t="shared" si="2"/>
        <v/>
      </c>
      <c r="AE112" s="5"/>
      <c r="AF112" s="5"/>
      <c r="AG112" s="5"/>
      <c r="AH112" s="5"/>
      <c r="AI112" s="5"/>
      <c r="AJ112" s="5"/>
      <c r="AK112" s="5"/>
      <c r="AL112" s="5"/>
      <c r="AM112" s="5"/>
    </row>
    <row r="113" spans="1:39" ht="15.75" customHeight="1">
      <c r="A113" s="8"/>
      <c r="B113" s="8"/>
      <c r="C113" s="5"/>
      <c r="D113" s="5"/>
      <c r="E113" s="5"/>
      <c r="F113" s="5"/>
      <c r="G113" s="5"/>
      <c r="H113" s="5" t="str">
        <f>optionchain!$J$2&amp; " " &amp;oiFNO!$O113</f>
        <v>44896 19850</v>
      </c>
      <c r="I113" s="5"/>
      <c r="J113" s="23">
        <v>0.65</v>
      </c>
      <c r="K113" s="23">
        <v>-0.7</v>
      </c>
      <c r="L113" s="23">
        <v>249900</v>
      </c>
      <c r="M113" s="23">
        <v>48350</v>
      </c>
      <c r="N113" s="23">
        <v>38550</v>
      </c>
      <c r="O113" s="23">
        <v>19850</v>
      </c>
      <c r="P113" s="23"/>
      <c r="Q113" s="23"/>
      <c r="R113" s="23"/>
      <c r="S113" s="23"/>
      <c r="T113" s="23"/>
      <c r="V113" s="5"/>
      <c r="W113" s="5"/>
      <c r="X113" s="5"/>
      <c r="Y113" s="5"/>
      <c r="Z113" s="5"/>
      <c r="AA113" s="5"/>
      <c r="AB113" s="5"/>
      <c r="AC113" s="4" t="str">
        <f>IF(O188&gt;0,oiFNO!$O113-O188,"")</f>
        <v/>
      </c>
      <c r="AD113" s="5" t="str">
        <f t="shared" si="2"/>
        <v/>
      </c>
      <c r="AE113" s="5"/>
      <c r="AF113" s="5"/>
      <c r="AG113" s="5"/>
      <c r="AH113" s="5"/>
      <c r="AI113" s="5"/>
      <c r="AJ113" s="5"/>
      <c r="AK113" s="5"/>
      <c r="AL113" s="5"/>
      <c r="AM113" s="5"/>
    </row>
    <row r="114" spans="1:39" ht="15.75" customHeight="1">
      <c r="A114" s="8"/>
      <c r="B114" s="8"/>
      <c r="C114" s="5"/>
      <c r="D114" s="5"/>
      <c r="E114" s="5"/>
      <c r="F114" s="5"/>
      <c r="G114" s="5"/>
      <c r="H114" s="5" t="str">
        <f>optionchain!$J$2&amp; " " &amp;oiFNO!$O114</f>
        <v>44896 19900</v>
      </c>
      <c r="I114" s="5"/>
      <c r="J114" s="23">
        <v>0.65</v>
      </c>
      <c r="K114" s="23">
        <v>-0.55000000000000004</v>
      </c>
      <c r="L114" s="23">
        <v>2879700</v>
      </c>
      <c r="M114" s="23">
        <v>684300</v>
      </c>
      <c r="N114" s="23">
        <v>247650</v>
      </c>
      <c r="O114" s="23">
        <v>19900</v>
      </c>
      <c r="P114" s="23">
        <v>1435.55</v>
      </c>
      <c r="Q114" s="23"/>
      <c r="R114" s="23"/>
      <c r="S114" s="23">
        <v>50</v>
      </c>
      <c r="T114" s="23"/>
      <c r="V114" s="5"/>
      <c r="W114" s="5"/>
      <c r="X114" s="5"/>
      <c r="Y114" s="5"/>
      <c r="Z114" s="5"/>
      <c r="AA114" s="5"/>
      <c r="AB114" s="5"/>
      <c r="AC114" s="4" t="str">
        <f>IF(O189&gt;0,oiFNO!$O114-O189,"")</f>
        <v/>
      </c>
      <c r="AD114" s="5" t="str">
        <f t="shared" si="2"/>
        <v/>
      </c>
      <c r="AE114" s="5"/>
      <c r="AF114" s="5"/>
      <c r="AG114" s="5"/>
      <c r="AH114" s="5"/>
      <c r="AI114" s="5"/>
      <c r="AJ114" s="5"/>
      <c r="AK114" s="5"/>
      <c r="AL114" s="5"/>
      <c r="AM114" s="5"/>
    </row>
    <row r="115" spans="1:39" ht="15.75" customHeight="1">
      <c r="A115" s="8"/>
      <c r="B115" s="8"/>
      <c r="C115" s="5"/>
      <c r="D115" s="5"/>
      <c r="E115" s="5"/>
      <c r="F115" s="5"/>
      <c r="G115" s="5"/>
      <c r="H115" s="5" t="str">
        <f>optionchain!$J$2&amp; " " &amp;oiFNO!$O115</f>
        <v>44896 19950</v>
      </c>
      <c r="I115" s="5"/>
      <c r="J115" s="23">
        <v>0.65</v>
      </c>
      <c r="K115" s="23">
        <v>-0.5</v>
      </c>
      <c r="L115" s="23">
        <v>567350</v>
      </c>
      <c r="M115" s="23">
        <v>186650</v>
      </c>
      <c r="N115" s="23">
        <v>150</v>
      </c>
      <c r="O115" s="23">
        <v>19950</v>
      </c>
      <c r="P115" s="23"/>
      <c r="Q115" s="23"/>
      <c r="R115" s="23"/>
      <c r="S115" s="23"/>
      <c r="T115" s="23"/>
      <c r="V115" s="5"/>
      <c r="W115" s="5"/>
      <c r="X115" s="5"/>
      <c r="Y115" s="5"/>
      <c r="Z115" s="5"/>
      <c r="AA115" s="5"/>
      <c r="AB115" s="5"/>
      <c r="AC115" s="4" t="str">
        <f>IF(O190&gt;0,oiFNO!$O115-O190,"")</f>
        <v/>
      </c>
      <c r="AD115" s="5" t="str">
        <f t="shared" si="2"/>
        <v/>
      </c>
      <c r="AE115" s="5"/>
      <c r="AF115" s="5"/>
      <c r="AG115" s="5"/>
      <c r="AH115" s="5"/>
      <c r="AI115" s="5"/>
      <c r="AJ115" s="5"/>
      <c r="AK115" s="5"/>
      <c r="AL115" s="5"/>
      <c r="AM115" s="5"/>
    </row>
    <row r="116" spans="1:39" ht="15.75" customHeight="1">
      <c r="A116" s="8"/>
      <c r="B116" s="8"/>
      <c r="C116" s="5"/>
      <c r="D116" s="5"/>
      <c r="E116" s="5"/>
      <c r="F116" s="5"/>
      <c r="G116" s="5"/>
      <c r="H116" s="5" t="str">
        <f>optionchain!$J$2&amp; " " &amp;oiFNO!$O116</f>
        <v>44896 20000</v>
      </c>
      <c r="I116" s="5"/>
      <c r="J116" s="23">
        <v>0.65</v>
      </c>
      <c r="K116" s="23">
        <v>-98.55</v>
      </c>
      <c r="L116" s="23">
        <v>2963500</v>
      </c>
      <c r="M116" s="23">
        <v>877800</v>
      </c>
      <c r="N116" s="23">
        <v>877800</v>
      </c>
      <c r="O116" s="23">
        <v>20000</v>
      </c>
      <c r="P116" s="23">
        <v>1467.1</v>
      </c>
      <c r="Q116" s="23">
        <v>-774.25</v>
      </c>
      <c r="R116" s="23">
        <v>19050</v>
      </c>
      <c r="S116" s="23">
        <v>5100</v>
      </c>
      <c r="T116" s="23">
        <v>5100</v>
      </c>
      <c r="V116" s="5"/>
      <c r="W116" s="5"/>
      <c r="X116" s="5"/>
      <c r="Y116" s="5"/>
      <c r="Z116" s="5"/>
      <c r="AA116" s="5"/>
      <c r="AB116" s="5"/>
      <c r="AC116" s="4" t="str">
        <f>IF(O191&gt;0,oiFNO!$O116-O191,"")</f>
        <v/>
      </c>
      <c r="AD116" s="5" t="str">
        <f t="shared" si="2"/>
        <v/>
      </c>
      <c r="AE116" s="5"/>
      <c r="AF116" s="5"/>
      <c r="AG116" s="5"/>
      <c r="AH116" s="5"/>
      <c r="AI116" s="5"/>
      <c r="AJ116" s="5"/>
      <c r="AK116" s="5"/>
      <c r="AL116" s="5"/>
      <c r="AM116" s="5"/>
    </row>
    <row r="117" spans="1:39" ht="15.75" customHeight="1">
      <c r="A117" s="8"/>
      <c r="B117" s="8"/>
      <c r="C117" s="5"/>
      <c r="D117" s="5"/>
      <c r="E117" s="5"/>
      <c r="F117" s="5"/>
      <c r="G117" s="5"/>
      <c r="H117" s="5" t="e">
        <f>#REF!&amp; " " &amp;#REF!</f>
        <v>#REF!</v>
      </c>
      <c r="I117" s="5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V117" s="5"/>
      <c r="W117" s="5"/>
      <c r="X117" s="5"/>
      <c r="Y117" s="5"/>
      <c r="Z117" s="5"/>
      <c r="AA117" s="5"/>
      <c r="AB117" s="5"/>
      <c r="AC117" s="4" t="str">
        <f>IF(O192&gt;0,#REF!-O192,"")</f>
        <v/>
      </c>
      <c r="AD117" s="5" t="str">
        <f t="shared" si="2"/>
        <v/>
      </c>
      <c r="AE117" s="5"/>
      <c r="AF117" s="5"/>
      <c r="AG117" s="5"/>
      <c r="AH117" s="5"/>
      <c r="AI117" s="5"/>
      <c r="AJ117" s="5"/>
      <c r="AK117" s="5"/>
      <c r="AL117" s="5"/>
      <c r="AM117" s="5"/>
    </row>
    <row r="118" spans="1:39" ht="15.75" customHeight="1">
      <c r="A118" s="8"/>
      <c r="B118" s="8"/>
      <c r="C118" s="5"/>
      <c r="D118" s="5"/>
      <c r="E118" s="5"/>
      <c r="F118" s="5"/>
      <c r="G118" s="5"/>
      <c r="H118" s="5" t="e">
        <f>#REF!&amp; " " &amp;#REF!</f>
        <v>#REF!</v>
      </c>
      <c r="I118" s="5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V118" s="5"/>
      <c r="W118" s="5"/>
      <c r="X118" s="5"/>
      <c r="Y118" s="5"/>
      <c r="Z118" s="5"/>
      <c r="AA118" s="5"/>
      <c r="AB118" s="5"/>
      <c r="AC118" s="4" t="str">
        <f>IF(O193&gt;0,#REF!-O193,"")</f>
        <v/>
      </c>
      <c r="AD118" s="5" t="str">
        <f t="shared" si="2"/>
        <v/>
      </c>
      <c r="AE118" s="5"/>
      <c r="AF118" s="5"/>
      <c r="AG118" s="5"/>
      <c r="AH118" s="5"/>
      <c r="AI118" s="5"/>
      <c r="AJ118" s="5"/>
      <c r="AK118" s="5"/>
      <c r="AL118" s="5"/>
      <c r="AM118" s="5"/>
    </row>
    <row r="119" spans="1:39" ht="15.75" customHeight="1">
      <c r="A119" s="8"/>
      <c r="B119" s="8"/>
      <c r="C119" s="5"/>
      <c r="D119" s="5"/>
      <c r="E119" s="5"/>
      <c r="F119" s="5"/>
      <c r="G119" s="5"/>
      <c r="H119" s="5" t="e">
        <f>#REF!&amp; " " &amp;#REF!</f>
        <v>#REF!</v>
      </c>
      <c r="I119" s="5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V119" s="5"/>
      <c r="W119" s="5"/>
      <c r="X119" s="5"/>
      <c r="Y119" s="5"/>
      <c r="Z119" s="5"/>
      <c r="AA119" s="5"/>
      <c r="AB119" s="5"/>
      <c r="AC119" s="4" t="str">
        <f>IF(O194&gt;0,#REF!-O194,"")</f>
        <v/>
      </c>
      <c r="AD119" s="5" t="str">
        <f t="shared" si="2"/>
        <v/>
      </c>
      <c r="AE119" s="5"/>
      <c r="AF119" s="5"/>
      <c r="AG119" s="5"/>
      <c r="AH119" s="5"/>
      <c r="AI119" s="5"/>
      <c r="AJ119" s="5"/>
      <c r="AK119" s="5"/>
      <c r="AL119" s="5"/>
      <c r="AM119" s="5"/>
    </row>
    <row r="120" spans="1:39" ht="15.75" customHeight="1">
      <c r="A120" s="8"/>
      <c r="B120" s="8"/>
      <c r="C120" s="5"/>
      <c r="D120" s="5"/>
      <c r="E120" s="5"/>
      <c r="F120" s="5"/>
      <c r="G120" s="5"/>
      <c r="H120" s="5" t="e">
        <f>#REF!&amp; " " &amp;#REF!</f>
        <v>#REF!</v>
      </c>
      <c r="I120" s="5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V120" s="5"/>
      <c r="W120" s="5"/>
      <c r="X120" s="5"/>
      <c r="Y120" s="5"/>
      <c r="Z120" s="5"/>
      <c r="AA120" s="5"/>
      <c r="AB120" s="5"/>
      <c r="AC120" s="4" t="str">
        <f>IF(O195&gt;0,#REF!-O195,"")</f>
        <v/>
      </c>
      <c r="AD120" s="5" t="str">
        <f t="shared" si="2"/>
        <v/>
      </c>
      <c r="AE120" s="5"/>
      <c r="AF120" s="5"/>
      <c r="AG120" s="5"/>
      <c r="AH120" s="5"/>
      <c r="AI120" s="5"/>
      <c r="AJ120" s="5"/>
      <c r="AK120" s="5"/>
      <c r="AL120" s="5"/>
      <c r="AM120" s="5"/>
    </row>
    <row r="121" spans="1:39" ht="15.75" customHeight="1">
      <c r="A121" s="8"/>
      <c r="B121" s="8"/>
      <c r="C121" s="5"/>
      <c r="D121" s="5"/>
      <c r="E121" s="5"/>
      <c r="F121" s="5"/>
      <c r="G121" s="5"/>
      <c r="H121" s="5" t="e">
        <f>#REF!&amp; " " &amp;#REF!</f>
        <v>#REF!</v>
      </c>
      <c r="I121" s="5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V121" s="5"/>
      <c r="W121" s="5"/>
      <c r="X121" s="5"/>
      <c r="Y121" s="5"/>
      <c r="Z121" s="5"/>
      <c r="AA121" s="5"/>
      <c r="AB121" s="5"/>
      <c r="AC121" s="4" t="str">
        <f>IF(O196&gt;0,#REF!-O196,"")</f>
        <v/>
      </c>
      <c r="AD121" s="5" t="str">
        <f t="shared" si="2"/>
        <v/>
      </c>
      <c r="AE121" s="5"/>
      <c r="AF121" s="5"/>
      <c r="AG121" s="5"/>
      <c r="AH121" s="5"/>
      <c r="AI121" s="5"/>
      <c r="AJ121" s="5"/>
      <c r="AK121" s="5"/>
      <c r="AL121" s="5"/>
      <c r="AM121" s="5"/>
    </row>
    <row r="122" spans="1:39" ht="15.75" customHeight="1">
      <c r="A122" s="8"/>
      <c r="B122" s="8"/>
      <c r="C122" s="5"/>
      <c r="D122" s="5"/>
      <c r="E122" s="5"/>
      <c r="F122" s="5"/>
      <c r="G122" s="5"/>
      <c r="H122" s="5" t="e">
        <f>#REF!&amp; " " &amp;#REF!</f>
        <v>#REF!</v>
      </c>
      <c r="I122" s="5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V122" s="5"/>
      <c r="W122" s="5"/>
      <c r="X122" s="5"/>
      <c r="Y122" s="5"/>
      <c r="Z122" s="5"/>
      <c r="AA122" s="5"/>
      <c r="AB122" s="5"/>
      <c r="AC122" s="4" t="str">
        <f>IF(O197&gt;0,#REF!-O197,"")</f>
        <v/>
      </c>
      <c r="AD122" s="5" t="str">
        <f t="shared" si="2"/>
        <v/>
      </c>
      <c r="AE122" s="5"/>
      <c r="AF122" s="5"/>
      <c r="AG122" s="5"/>
      <c r="AH122" s="5"/>
      <c r="AI122" s="5"/>
      <c r="AJ122" s="5"/>
      <c r="AK122" s="5"/>
      <c r="AL122" s="5"/>
      <c r="AM122" s="5"/>
    </row>
    <row r="123" spans="1:39" ht="15.75" customHeight="1">
      <c r="A123" s="8"/>
      <c r="B123" s="8"/>
      <c r="C123" s="5"/>
      <c r="D123" s="5"/>
      <c r="E123" s="5"/>
      <c r="F123" s="5"/>
      <c r="G123" s="5"/>
      <c r="H123" s="5" t="e">
        <f>#REF!&amp; " " &amp;#REF!</f>
        <v>#REF!</v>
      </c>
      <c r="I123" s="5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V123" s="5"/>
      <c r="W123" s="5"/>
      <c r="X123" s="5"/>
      <c r="Y123" s="5"/>
      <c r="Z123" s="5"/>
      <c r="AA123" s="5"/>
      <c r="AB123" s="5"/>
      <c r="AC123" s="4" t="str">
        <f>IF(O198&gt;0,#REF!-O198,"")</f>
        <v/>
      </c>
      <c r="AD123" s="5" t="str">
        <f t="shared" si="2"/>
        <v/>
      </c>
      <c r="AE123" s="5"/>
      <c r="AF123" s="5"/>
      <c r="AG123" s="5"/>
      <c r="AH123" s="5"/>
      <c r="AI123" s="5"/>
      <c r="AJ123" s="5"/>
      <c r="AK123" s="5"/>
      <c r="AL123" s="5"/>
      <c r="AM123" s="5"/>
    </row>
    <row r="124" spans="1:39" ht="15.75" customHeight="1">
      <c r="A124" s="8"/>
      <c r="B124" s="8"/>
      <c r="C124" s="5"/>
      <c r="D124" s="5"/>
      <c r="E124" s="5"/>
      <c r="F124" s="5"/>
      <c r="G124" s="5"/>
      <c r="H124" s="5" t="e">
        <f>#REF!&amp; " " &amp;#REF!</f>
        <v>#REF!</v>
      </c>
      <c r="I124" s="5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V124" s="5"/>
      <c r="W124" s="5"/>
      <c r="X124" s="5"/>
      <c r="Y124" s="5"/>
      <c r="Z124" s="5"/>
      <c r="AA124" s="5"/>
      <c r="AB124" s="5"/>
      <c r="AC124" s="4" t="str">
        <f>IF(O199&gt;0,#REF!-O199,"")</f>
        <v/>
      </c>
      <c r="AD124" s="5" t="str">
        <f t="shared" si="2"/>
        <v/>
      </c>
      <c r="AE124" s="5"/>
      <c r="AF124" s="5"/>
      <c r="AG124" s="5"/>
      <c r="AH124" s="5"/>
      <c r="AI124" s="5"/>
      <c r="AJ124" s="5"/>
      <c r="AK124" s="5"/>
      <c r="AL124" s="5"/>
      <c r="AM124" s="5"/>
    </row>
    <row r="125" spans="1:39" ht="15.75" customHeight="1">
      <c r="A125" s="8"/>
      <c r="B125" s="8"/>
      <c r="C125" s="5"/>
      <c r="D125" s="5"/>
      <c r="E125" s="5"/>
      <c r="F125" s="5"/>
      <c r="G125" s="5"/>
      <c r="H125" s="5" t="e">
        <f>#REF!&amp; " " &amp;#REF!</f>
        <v>#REF!</v>
      </c>
      <c r="I125" s="5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V125" s="5"/>
      <c r="W125" s="5"/>
      <c r="X125" s="5"/>
      <c r="Y125" s="5"/>
      <c r="Z125" s="5"/>
      <c r="AA125" s="5"/>
      <c r="AB125" s="5"/>
      <c r="AC125" s="4" t="str">
        <f>IF(O200&gt;0,#REF!-O200,"")</f>
        <v/>
      </c>
      <c r="AD125" s="5" t="str">
        <f t="shared" si="2"/>
        <v/>
      </c>
      <c r="AE125" s="5"/>
      <c r="AF125" s="5"/>
      <c r="AG125" s="5"/>
      <c r="AH125" s="5"/>
      <c r="AI125" s="5"/>
      <c r="AJ125" s="5"/>
      <c r="AK125" s="5"/>
      <c r="AL125" s="5"/>
      <c r="AM125" s="5"/>
    </row>
    <row r="126" spans="1:39" ht="15.75" customHeight="1">
      <c r="A126" s="8"/>
      <c r="B126" s="8"/>
      <c r="C126" s="5"/>
      <c r="D126" s="5"/>
      <c r="E126" s="5"/>
      <c r="F126" s="5"/>
      <c r="G126" s="5"/>
      <c r="H126" s="5" t="e">
        <f>#REF!&amp; " " &amp;#REF!</f>
        <v>#REF!</v>
      </c>
      <c r="I126" s="5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V126" s="5"/>
      <c r="W126" s="5"/>
      <c r="X126" s="5"/>
      <c r="Y126" s="5"/>
      <c r="Z126" s="5"/>
      <c r="AA126" s="5"/>
      <c r="AB126" s="5"/>
      <c r="AC126" s="4" t="str">
        <f>IF(O201&gt;0,#REF!-O201,"")</f>
        <v/>
      </c>
      <c r="AD126" s="5" t="str">
        <f t="shared" si="2"/>
        <v/>
      </c>
      <c r="AE126" s="5"/>
      <c r="AF126" s="5"/>
      <c r="AG126" s="5"/>
      <c r="AH126" s="5"/>
      <c r="AI126" s="5"/>
      <c r="AJ126" s="5"/>
      <c r="AK126" s="5"/>
      <c r="AL126" s="5"/>
      <c r="AM126" s="5"/>
    </row>
    <row r="127" spans="1:39" ht="15.75" customHeight="1">
      <c r="A127" s="8"/>
      <c r="B127" s="8"/>
      <c r="C127" s="5"/>
      <c r="D127" s="5"/>
      <c r="E127" s="5"/>
      <c r="F127" s="5"/>
      <c r="G127" s="5"/>
      <c r="H127" s="5" t="e">
        <f>#REF!&amp; " " &amp;#REF!</f>
        <v>#REF!</v>
      </c>
      <c r="I127" s="5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V127" s="5"/>
      <c r="W127" s="5"/>
      <c r="X127" s="5"/>
      <c r="Y127" s="5"/>
      <c r="Z127" s="5"/>
      <c r="AA127" s="5"/>
      <c r="AB127" s="5"/>
      <c r="AC127" s="4" t="str">
        <f>IF(O202&gt;0,#REF!-O202,"")</f>
        <v/>
      </c>
      <c r="AD127" s="5" t="str">
        <f t="shared" si="2"/>
        <v/>
      </c>
      <c r="AE127" s="5"/>
      <c r="AF127" s="5"/>
      <c r="AG127" s="5"/>
      <c r="AH127" s="5"/>
      <c r="AI127" s="5"/>
      <c r="AJ127" s="5"/>
      <c r="AK127" s="5"/>
      <c r="AL127" s="5"/>
      <c r="AM127" s="5"/>
    </row>
    <row r="128" spans="1:39" ht="15.75" customHeight="1">
      <c r="A128" s="8"/>
      <c r="B128" s="8"/>
      <c r="C128" s="5"/>
      <c r="D128" s="5"/>
      <c r="E128" s="5"/>
      <c r="F128" s="5"/>
      <c r="G128" s="5"/>
      <c r="H128" s="5" t="e">
        <f>#REF!&amp; " " &amp;#REF!</f>
        <v>#REF!</v>
      </c>
      <c r="I128" s="5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V128" s="5"/>
      <c r="W128" s="5"/>
      <c r="X128" s="5"/>
      <c r="Y128" s="5"/>
      <c r="Z128" s="5"/>
      <c r="AA128" s="5"/>
      <c r="AB128" s="5"/>
      <c r="AC128" s="4" t="str">
        <f>IF(O203&gt;0,#REF!-O203,"")</f>
        <v/>
      </c>
      <c r="AD128" s="5" t="str">
        <f t="shared" si="2"/>
        <v/>
      </c>
      <c r="AE128" s="5"/>
      <c r="AF128" s="5"/>
      <c r="AG128" s="5"/>
      <c r="AH128" s="5"/>
      <c r="AI128" s="5"/>
      <c r="AJ128" s="5"/>
      <c r="AK128" s="5"/>
      <c r="AL128" s="5"/>
      <c r="AM128" s="5"/>
    </row>
    <row r="129" spans="1:39" ht="15.75" customHeight="1">
      <c r="A129" s="8"/>
      <c r="B129" s="8"/>
      <c r="C129" s="5"/>
      <c r="D129" s="5"/>
      <c r="E129" s="5"/>
      <c r="F129" s="5"/>
      <c r="G129" s="5"/>
      <c r="H129" s="5" t="e">
        <f>#REF!&amp; " " &amp;#REF!</f>
        <v>#REF!</v>
      </c>
      <c r="I129" s="5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V129" s="5"/>
      <c r="W129" s="5"/>
      <c r="X129" s="5"/>
      <c r="Y129" s="5"/>
      <c r="Z129" s="5"/>
      <c r="AA129" s="5"/>
      <c r="AB129" s="5"/>
      <c r="AC129" s="4" t="str">
        <f>IF(O204&gt;0,#REF!-O204,"")</f>
        <v/>
      </c>
      <c r="AD129" s="5" t="str">
        <f t="shared" si="2"/>
        <v/>
      </c>
      <c r="AE129" s="5"/>
      <c r="AF129" s="5"/>
      <c r="AG129" s="5"/>
      <c r="AH129" s="5"/>
      <c r="AI129" s="5"/>
      <c r="AJ129" s="5"/>
      <c r="AK129" s="5"/>
      <c r="AL129" s="5"/>
      <c r="AM129" s="5"/>
    </row>
    <row r="130" spans="1:39" ht="15.75" customHeight="1">
      <c r="A130" s="8"/>
      <c r="B130" s="8"/>
      <c r="C130" s="5"/>
      <c r="D130" s="5"/>
      <c r="E130" s="5"/>
      <c r="F130" s="5"/>
      <c r="G130" s="5"/>
      <c r="H130" s="5" t="e">
        <f>#REF!&amp; " " &amp;#REF!</f>
        <v>#REF!</v>
      </c>
      <c r="I130" s="5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V130" s="5"/>
      <c r="W130" s="5"/>
      <c r="X130" s="5"/>
      <c r="Y130" s="5"/>
      <c r="Z130" s="5"/>
      <c r="AA130" s="5"/>
      <c r="AB130" s="5"/>
      <c r="AC130" s="4" t="str">
        <f>IF(O205&gt;0,#REF!-O205,"")</f>
        <v/>
      </c>
      <c r="AD130" s="5" t="str">
        <f t="shared" si="2"/>
        <v/>
      </c>
      <c r="AE130" s="5"/>
      <c r="AF130" s="5"/>
      <c r="AG130" s="5"/>
      <c r="AH130" s="5"/>
      <c r="AI130" s="5"/>
      <c r="AJ130" s="5"/>
      <c r="AK130" s="5"/>
      <c r="AL130" s="5"/>
      <c r="AM130" s="5"/>
    </row>
    <row r="131" spans="1:39" ht="15.75" customHeight="1">
      <c r="A131" s="8"/>
      <c r="B131" s="8"/>
      <c r="C131" s="5"/>
      <c r="D131" s="5"/>
      <c r="E131" s="5"/>
      <c r="F131" s="5"/>
      <c r="G131" s="5"/>
      <c r="H131" s="5" t="e">
        <f>#REF!&amp; " " &amp;#REF!</f>
        <v>#REF!</v>
      </c>
      <c r="I131" s="5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V131" s="5"/>
      <c r="W131" s="5"/>
      <c r="X131" s="5"/>
      <c r="Y131" s="5"/>
      <c r="Z131" s="5"/>
      <c r="AA131" s="5"/>
      <c r="AB131" s="5"/>
      <c r="AC131" s="4" t="str">
        <f>IF(O206&gt;0,#REF!-O206,"")</f>
        <v/>
      </c>
      <c r="AD131" s="5" t="str">
        <f t="shared" si="2"/>
        <v/>
      </c>
      <c r="AE131" s="5"/>
      <c r="AF131" s="5"/>
      <c r="AG131" s="5"/>
      <c r="AH131" s="5"/>
      <c r="AI131" s="5"/>
      <c r="AJ131" s="5"/>
      <c r="AK131" s="5"/>
      <c r="AL131" s="5"/>
      <c r="AM131" s="5"/>
    </row>
    <row r="132" spans="1:39" ht="15.75" customHeight="1">
      <c r="A132" s="8"/>
      <c r="B132" s="8"/>
      <c r="C132" s="5"/>
      <c r="D132" s="5"/>
      <c r="E132" s="5"/>
      <c r="F132" s="5"/>
      <c r="G132" s="5"/>
      <c r="H132" s="5" t="e">
        <f>#REF!&amp; " " &amp;#REF!</f>
        <v>#REF!</v>
      </c>
      <c r="I132" s="5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V132" s="5"/>
      <c r="W132" s="5"/>
      <c r="X132" s="5"/>
      <c r="Y132" s="5"/>
      <c r="Z132" s="5"/>
      <c r="AA132" s="5"/>
      <c r="AB132" s="5"/>
      <c r="AC132" s="4" t="str">
        <f>IF(O207&gt;0,#REF!-O207,"")</f>
        <v/>
      </c>
      <c r="AD132" s="5" t="str">
        <f t="shared" si="2"/>
        <v/>
      </c>
      <c r="AE132" s="5"/>
      <c r="AF132" s="5"/>
      <c r="AG132" s="5"/>
      <c r="AH132" s="5"/>
      <c r="AI132" s="5"/>
      <c r="AJ132" s="5"/>
      <c r="AK132" s="5"/>
      <c r="AL132" s="5"/>
      <c r="AM132" s="5"/>
    </row>
    <row r="133" spans="1:39" ht="15.75" customHeight="1">
      <c r="A133" s="8"/>
      <c r="B133" s="8"/>
      <c r="C133" s="5"/>
      <c r="D133" s="5"/>
      <c r="E133" s="5"/>
      <c r="F133" s="5"/>
      <c r="G133" s="5"/>
      <c r="H133" s="5" t="e">
        <f>#REF!&amp; " " &amp;#REF!</f>
        <v>#REF!</v>
      </c>
      <c r="I133" s="5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V133" s="5"/>
      <c r="W133" s="5"/>
      <c r="X133" s="5"/>
      <c r="Y133" s="5"/>
      <c r="Z133" s="5"/>
      <c r="AA133" s="5"/>
      <c r="AB133" s="5"/>
      <c r="AC133" s="4" t="str">
        <f>IF(O208&gt;0,#REF!-O208,"")</f>
        <v/>
      </c>
      <c r="AD133" s="5" t="str">
        <f t="shared" si="2"/>
        <v/>
      </c>
      <c r="AE133" s="5"/>
      <c r="AF133" s="5"/>
      <c r="AG133" s="5"/>
      <c r="AH133" s="5"/>
      <c r="AI133" s="5"/>
      <c r="AJ133" s="5"/>
      <c r="AK133" s="5"/>
      <c r="AL133" s="5"/>
      <c r="AM133" s="5"/>
    </row>
    <row r="134" spans="1:39" ht="15.75" customHeight="1">
      <c r="A134" s="8"/>
      <c r="B134" s="8"/>
      <c r="C134" s="5"/>
      <c r="D134" s="5"/>
      <c r="E134" s="5"/>
      <c r="F134" s="5"/>
      <c r="G134" s="5"/>
      <c r="H134" s="5" t="e">
        <f>#REF!&amp; " " &amp;#REF!</f>
        <v>#REF!</v>
      </c>
      <c r="I134" s="5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V134" s="5"/>
      <c r="W134" s="5"/>
      <c r="X134" s="5"/>
      <c r="Y134" s="5"/>
      <c r="Z134" s="5"/>
      <c r="AA134" s="5"/>
      <c r="AB134" s="5"/>
      <c r="AC134" s="4" t="str">
        <f>IF(O209&gt;0,#REF!-O209,"")</f>
        <v/>
      </c>
      <c r="AD134" s="5" t="str">
        <f t="shared" si="2"/>
        <v/>
      </c>
      <c r="AE134" s="5"/>
      <c r="AF134" s="5"/>
      <c r="AG134" s="5"/>
      <c r="AH134" s="5"/>
      <c r="AI134" s="5"/>
      <c r="AJ134" s="5"/>
      <c r="AK134" s="5"/>
      <c r="AL134" s="5"/>
      <c r="AM134" s="5"/>
    </row>
    <row r="135" spans="1:39" ht="15.75" customHeight="1">
      <c r="A135" s="8"/>
      <c r="B135" s="8"/>
      <c r="C135" s="5"/>
      <c r="D135" s="5"/>
      <c r="E135" s="5"/>
      <c r="F135" s="5"/>
      <c r="G135" s="5"/>
      <c r="H135" s="5" t="e">
        <f>#REF!&amp; " " &amp;#REF!</f>
        <v>#REF!</v>
      </c>
      <c r="I135" s="5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V135" s="5"/>
      <c r="W135" s="5"/>
      <c r="X135" s="5"/>
      <c r="Y135" s="5"/>
      <c r="Z135" s="5"/>
      <c r="AA135" s="5"/>
      <c r="AB135" s="5"/>
      <c r="AC135" s="4" t="str">
        <f>IF(O210&gt;0,#REF!-O210,"")</f>
        <v/>
      </c>
      <c r="AD135" s="5" t="str">
        <f t="shared" si="2"/>
        <v/>
      </c>
      <c r="AE135" s="5"/>
      <c r="AF135" s="5"/>
      <c r="AG135" s="5"/>
      <c r="AH135" s="5"/>
      <c r="AI135" s="5"/>
      <c r="AJ135" s="5"/>
      <c r="AK135" s="5"/>
      <c r="AL135" s="5"/>
      <c r="AM135" s="5"/>
    </row>
    <row r="136" spans="1:39" ht="15.75" customHeight="1">
      <c r="A136" s="8"/>
      <c r="B136" s="8"/>
      <c r="C136" s="5"/>
      <c r="D136" s="5"/>
      <c r="E136" s="5"/>
      <c r="F136" s="5"/>
      <c r="G136" s="5"/>
      <c r="H136" s="5" t="e">
        <f>#REF!&amp; " " &amp;#REF!</f>
        <v>#REF!</v>
      </c>
      <c r="I136" s="5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V136" s="5"/>
      <c r="W136" s="5"/>
      <c r="X136" s="5"/>
      <c r="Y136" s="5"/>
      <c r="Z136" s="5"/>
      <c r="AA136" s="5"/>
      <c r="AB136" s="5"/>
      <c r="AC136" s="4" t="str">
        <f>IF(O211&gt;0,#REF!-O211,"")</f>
        <v/>
      </c>
      <c r="AD136" s="5" t="str">
        <f t="shared" si="2"/>
        <v/>
      </c>
      <c r="AE136" s="5"/>
      <c r="AF136" s="5"/>
      <c r="AG136" s="5"/>
      <c r="AH136" s="5"/>
      <c r="AI136" s="5"/>
      <c r="AJ136" s="5"/>
      <c r="AK136" s="5"/>
      <c r="AL136" s="5"/>
      <c r="AM136" s="5"/>
    </row>
    <row r="137" spans="1:39" ht="15.75" customHeight="1">
      <c r="A137" s="8"/>
      <c r="B137" s="8"/>
      <c r="C137" s="5"/>
      <c r="D137" s="5"/>
      <c r="E137" s="5"/>
      <c r="F137" s="5"/>
      <c r="G137" s="5"/>
      <c r="H137" s="5" t="e">
        <f>#REF!&amp; " " &amp;#REF!</f>
        <v>#REF!</v>
      </c>
      <c r="I137" s="5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V137" s="5"/>
      <c r="W137" s="5"/>
      <c r="X137" s="5"/>
      <c r="Y137" s="5"/>
      <c r="Z137" s="5"/>
      <c r="AA137" s="5"/>
      <c r="AB137" s="5"/>
      <c r="AC137" s="4" t="str">
        <f>IF(O212&gt;0,#REF!-O212,"")</f>
        <v/>
      </c>
      <c r="AD137" s="5"/>
      <c r="AE137" s="5"/>
      <c r="AF137" s="5"/>
      <c r="AG137" s="5"/>
      <c r="AH137" s="5"/>
      <c r="AI137" s="5"/>
      <c r="AJ137" s="5"/>
      <c r="AK137" s="5"/>
      <c r="AL137" s="5"/>
      <c r="AM137" s="5"/>
    </row>
    <row r="138" spans="1:39" ht="15.75" customHeight="1">
      <c r="A138" s="8"/>
      <c r="B138" s="8"/>
      <c r="C138" s="5"/>
      <c r="D138" s="5"/>
      <c r="E138" s="5"/>
      <c r="F138" s="5"/>
      <c r="G138" s="5"/>
      <c r="H138" s="5" t="e">
        <f>#REF!&amp; " " &amp;#REF!</f>
        <v>#REF!</v>
      </c>
      <c r="I138" s="5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V138" s="5"/>
      <c r="W138" s="5"/>
      <c r="X138" s="5"/>
      <c r="Y138" s="5"/>
      <c r="Z138" s="5"/>
      <c r="AA138" s="5"/>
      <c r="AB138" s="5"/>
      <c r="AC138" s="4" t="str">
        <f>IF(O213&gt;0,#REF!-O213,"")</f>
        <v/>
      </c>
      <c r="AD138" s="5"/>
      <c r="AE138" s="5"/>
      <c r="AF138" s="5"/>
      <c r="AG138" s="5"/>
      <c r="AH138" s="5"/>
      <c r="AI138" s="5"/>
      <c r="AJ138" s="5"/>
      <c r="AK138" s="5"/>
      <c r="AL138" s="5"/>
      <c r="AM138" s="5"/>
    </row>
    <row r="139" spans="1:39" ht="15.75" customHeight="1">
      <c r="A139" s="8"/>
      <c r="B139" s="8"/>
      <c r="C139" s="5"/>
      <c r="D139" s="5"/>
      <c r="E139" s="5"/>
      <c r="F139" s="5"/>
      <c r="G139" s="5"/>
      <c r="H139" s="5" t="e">
        <f>#REF!&amp; " " &amp;#REF!</f>
        <v>#REF!</v>
      </c>
      <c r="I139" s="5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V139" s="5"/>
      <c r="W139" s="5"/>
      <c r="X139" s="5"/>
      <c r="Y139" s="5"/>
      <c r="Z139" s="5"/>
      <c r="AA139" s="5"/>
      <c r="AB139" s="5"/>
      <c r="AC139" s="4" t="str">
        <f>IF(O214&gt;0,#REF!-O214,"")</f>
        <v/>
      </c>
      <c r="AD139" s="5"/>
      <c r="AE139" s="5"/>
      <c r="AF139" s="5"/>
      <c r="AG139" s="5"/>
      <c r="AH139" s="5"/>
      <c r="AI139" s="5"/>
      <c r="AJ139" s="5"/>
      <c r="AK139" s="5"/>
      <c r="AL139" s="5"/>
      <c r="AM139" s="5"/>
    </row>
    <row r="140" spans="1:39" ht="15.75" customHeight="1">
      <c r="A140" s="8"/>
      <c r="B140" s="8"/>
      <c r="C140" s="5"/>
      <c r="D140" s="5"/>
      <c r="E140" s="5"/>
      <c r="F140" s="5"/>
      <c r="G140" s="5"/>
      <c r="H140" s="5" t="e">
        <f>#REF!&amp; " " &amp;#REF!</f>
        <v>#REF!</v>
      </c>
      <c r="I140" s="5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V140" s="5"/>
      <c r="W140" s="5"/>
      <c r="X140" s="5"/>
      <c r="Y140" s="5"/>
      <c r="Z140" s="5"/>
      <c r="AA140" s="5"/>
      <c r="AB140" s="5"/>
      <c r="AC140" s="4" t="str">
        <f>IF(O215&gt;0,#REF!-O215,"")</f>
        <v/>
      </c>
      <c r="AD140" s="5"/>
      <c r="AE140" s="5"/>
      <c r="AF140" s="5"/>
      <c r="AG140" s="5"/>
      <c r="AH140" s="5"/>
      <c r="AI140" s="5"/>
      <c r="AJ140" s="5"/>
      <c r="AK140" s="5"/>
      <c r="AL140" s="5"/>
      <c r="AM140" s="5"/>
    </row>
    <row r="141" spans="1:39" ht="15.75" customHeight="1">
      <c r="A141" s="8"/>
      <c r="B141" s="8"/>
      <c r="C141" s="5"/>
      <c r="D141" s="5"/>
      <c r="E141" s="5"/>
      <c r="F141" s="5"/>
      <c r="G141" s="5"/>
      <c r="H141" s="5" t="e">
        <f>#REF!&amp; " " &amp;#REF!</f>
        <v>#REF!</v>
      </c>
      <c r="I141" s="5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V141" s="5"/>
      <c r="W141" s="5"/>
      <c r="X141" s="5"/>
      <c r="Y141" s="5"/>
      <c r="Z141" s="5"/>
      <c r="AA141" s="5"/>
      <c r="AB141" s="5"/>
      <c r="AC141" s="4" t="str">
        <f>IF(O216&gt;0,#REF!-O216,"")</f>
        <v/>
      </c>
      <c r="AD141" s="5"/>
      <c r="AE141" s="5"/>
      <c r="AF141" s="5"/>
      <c r="AG141" s="5"/>
      <c r="AH141" s="5"/>
      <c r="AI141" s="5"/>
      <c r="AJ141" s="5"/>
      <c r="AK141" s="5"/>
      <c r="AL141" s="5"/>
      <c r="AM141" s="5"/>
    </row>
    <row r="142" spans="1:39" ht="15.75" customHeight="1">
      <c r="A142" s="8"/>
      <c r="B142" s="3"/>
      <c r="C142" s="5"/>
      <c r="D142" s="5"/>
      <c r="E142" s="5"/>
      <c r="F142" s="5"/>
      <c r="G142" s="5"/>
      <c r="H142" s="5" t="e">
        <f>#REF!&amp; " " &amp;#REF!</f>
        <v>#REF!</v>
      </c>
      <c r="I142" s="5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V142" s="5"/>
      <c r="W142" s="5"/>
      <c r="X142" s="5"/>
      <c r="Y142" s="5"/>
      <c r="Z142" s="5"/>
      <c r="AA142" s="5"/>
      <c r="AB142" s="5"/>
      <c r="AC142" s="4" t="str">
        <f>IF(O217&gt;0,#REF!-O217,"")</f>
        <v/>
      </c>
      <c r="AD142" s="5"/>
      <c r="AE142" s="5"/>
      <c r="AF142" s="5"/>
      <c r="AG142" s="5"/>
      <c r="AH142" s="5"/>
      <c r="AI142" s="5"/>
      <c r="AJ142" s="5"/>
      <c r="AK142" s="5"/>
      <c r="AL142" s="5"/>
      <c r="AM142" s="5"/>
    </row>
    <row r="143" spans="1:39" ht="15.75" customHeight="1">
      <c r="A143" s="8"/>
      <c r="B143" s="3"/>
      <c r="C143" s="5"/>
      <c r="D143" s="5"/>
      <c r="E143" s="5"/>
      <c r="F143" s="5"/>
      <c r="G143" s="5"/>
      <c r="H143" s="5" t="e">
        <f>#REF!&amp; " " &amp;#REF!</f>
        <v>#REF!</v>
      </c>
      <c r="I143" s="5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V143" s="5"/>
      <c r="W143" s="5"/>
      <c r="X143" s="5"/>
      <c r="Y143" s="5"/>
      <c r="Z143" s="5"/>
      <c r="AA143" s="5"/>
      <c r="AB143" s="5"/>
      <c r="AC143" s="4" t="str">
        <f>IF(O218&gt;0,#REF!-O218,"")</f>
        <v/>
      </c>
      <c r="AD143" s="5"/>
      <c r="AE143" s="5"/>
      <c r="AF143" s="5"/>
      <c r="AG143" s="5"/>
      <c r="AH143" s="5"/>
      <c r="AI143" s="5"/>
      <c r="AJ143" s="5"/>
      <c r="AK143" s="5"/>
      <c r="AL143" s="5"/>
      <c r="AM143" s="5"/>
    </row>
    <row r="144" spans="1:39" ht="15.75" customHeight="1">
      <c r="A144" s="8"/>
      <c r="B144" s="3"/>
      <c r="C144" s="5"/>
      <c r="D144" s="5"/>
      <c r="E144" s="5"/>
      <c r="F144" s="5"/>
      <c r="G144" s="5"/>
      <c r="H144" s="5" t="e">
        <f>#REF!&amp; " " &amp;#REF!</f>
        <v>#REF!</v>
      </c>
      <c r="I144" s="5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V144" s="5"/>
      <c r="W144" s="5"/>
      <c r="X144" s="5"/>
      <c r="Y144" s="5"/>
      <c r="Z144" s="5"/>
      <c r="AA144" s="5"/>
      <c r="AB144" s="5"/>
      <c r="AC144" s="4" t="str">
        <f>IF(O219&gt;0,#REF!-O219,"")</f>
        <v/>
      </c>
      <c r="AD144" s="5"/>
      <c r="AE144" s="5"/>
      <c r="AF144" s="5"/>
      <c r="AG144" s="5"/>
      <c r="AH144" s="5"/>
      <c r="AI144" s="5"/>
      <c r="AJ144" s="5"/>
      <c r="AK144" s="5"/>
      <c r="AL144" s="5"/>
      <c r="AM144" s="5"/>
    </row>
    <row r="145" spans="1:39" ht="12" customHeight="1">
      <c r="A145" s="8"/>
      <c r="B145" s="3"/>
      <c r="C145" s="5"/>
      <c r="D145" s="5"/>
      <c r="E145" s="5"/>
      <c r="F145" s="5"/>
      <c r="G145" s="5"/>
      <c r="H145" s="5" t="e">
        <f>#REF!&amp; " " &amp;#REF!</f>
        <v>#REF!</v>
      </c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V145" s="5"/>
      <c r="W145" s="5"/>
      <c r="X145" s="5"/>
      <c r="Y145" s="5"/>
      <c r="Z145" s="5"/>
      <c r="AA145" s="5"/>
      <c r="AB145" s="5"/>
      <c r="AC145" s="4" t="str">
        <f>IF(O220&gt;0,#REF!-O220,"")</f>
        <v/>
      </c>
      <c r="AD145" s="5"/>
      <c r="AE145" s="5"/>
      <c r="AF145" s="5"/>
      <c r="AG145" s="5"/>
      <c r="AH145" s="5"/>
      <c r="AI145" s="5"/>
      <c r="AJ145" s="5"/>
      <c r="AK145" s="5"/>
      <c r="AL145" s="5"/>
      <c r="AM145" s="5"/>
    </row>
    <row r="146" spans="1:39" ht="15.75" customHeight="1">
      <c r="A146" s="8"/>
      <c r="B146" s="3"/>
      <c r="C146" s="5"/>
      <c r="D146" s="5"/>
      <c r="E146" s="5"/>
      <c r="F146" s="5"/>
      <c r="G146" s="5"/>
      <c r="H146" s="5" t="e">
        <f>#REF!&amp; " " &amp;#REF!</f>
        <v>#REF!</v>
      </c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V146" s="5"/>
      <c r="W146" s="5"/>
      <c r="X146" s="5"/>
      <c r="Y146" s="5"/>
      <c r="Z146" s="5"/>
      <c r="AA146" s="5"/>
      <c r="AB146" s="5"/>
      <c r="AC146" s="4" t="str">
        <f>IF(O221&gt;0,#REF!-O221,"")</f>
        <v/>
      </c>
      <c r="AD146" s="5"/>
      <c r="AE146" s="5"/>
      <c r="AF146" s="5"/>
      <c r="AG146" s="5"/>
      <c r="AH146" s="5"/>
      <c r="AI146" s="5"/>
      <c r="AJ146" s="5"/>
      <c r="AK146" s="5"/>
      <c r="AL146" s="5"/>
      <c r="AM146" s="5"/>
    </row>
    <row r="147" spans="1:39" ht="15.75" customHeight="1">
      <c r="A147" s="8"/>
      <c r="B147" s="3"/>
      <c r="C147" s="5"/>
      <c r="D147" s="5"/>
      <c r="E147" s="5"/>
      <c r="F147" s="5"/>
      <c r="G147" s="5"/>
      <c r="H147" s="5" t="e">
        <f>#REF!&amp; " " &amp;#REF!</f>
        <v>#REF!</v>
      </c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V147" s="5"/>
      <c r="W147" s="5"/>
      <c r="X147" s="5"/>
      <c r="Y147" s="5"/>
      <c r="Z147" s="5"/>
      <c r="AA147" s="5"/>
      <c r="AB147" s="5"/>
      <c r="AC147" s="4" t="str">
        <f>IF(O222&gt;0,#REF!-O222,"")</f>
        <v/>
      </c>
      <c r="AD147" s="5"/>
      <c r="AE147" s="5"/>
      <c r="AF147" s="5"/>
      <c r="AG147" s="5"/>
      <c r="AH147" s="5"/>
      <c r="AI147" s="5"/>
      <c r="AJ147" s="5"/>
      <c r="AK147" s="5"/>
      <c r="AL147" s="5"/>
      <c r="AM147" s="5"/>
    </row>
    <row r="148" spans="1:39" ht="15.75" customHeight="1">
      <c r="A148" s="8"/>
      <c r="B148" s="3"/>
      <c r="C148" s="5"/>
      <c r="D148" s="5"/>
      <c r="E148" s="5"/>
      <c r="F148" s="5"/>
      <c r="G148" s="5"/>
      <c r="H148" s="5" t="e">
        <f>#REF!&amp; " " &amp;#REF!</f>
        <v>#REF!</v>
      </c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V148" s="5"/>
      <c r="W148" s="5"/>
      <c r="X148" s="5"/>
      <c r="Y148" s="5"/>
      <c r="Z148" s="5"/>
      <c r="AA148" s="5"/>
      <c r="AB148" s="5"/>
      <c r="AC148" s="4" t="str">
        <f>IF(O223&gt;0,#REF!-O223,"")</f>
        <v/>
      </c>
      <c r="AD148" s="5"/>
      <c r="AE148" s="5"/>
      <c r="AF148" s="5"/>
      <c r="AG148" s="5"/>
      <c r="AH148" s="5"/>
      <c r="AI148" s="5"/>
      <c r="AJ148" s="5"/>
      <c r="AK148" s="5"/>
      <c r="AL148" s="5"/>
      <c r="AM148" s="5"/>
    </row>
    <row r="149" spans="1:39" ht="15.75" customHeight="1">
      <c r="A149" s="8"/>
      <c r="B149" s="3"/>
      <c r="C149" s="5"/>
      <c r="D149" s="5"/>
      <c r="E149" s="5"/>
      <c r="F149" s="5"/>
      <c r="G149" s="5"/>
      <c r="H149" s="5" t="e">
        <f>#REF!&amp; " " &amp;#REF!</f>
        <v>#REF!</v>
      </c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V149" s="5"/>
      <c r="W149" s="5"/>
      <c r="X149" s="5"/>
      <c r="Y149" s="5"/>
      <c r="Z149" s="5"/>
      <c r="AA149" s="5"/>
      <c r="AB149" s="5"/>
      <c r="AC149" s="4" t="str">
        <f>IF(O224&gt;0,#REF!-O224,"")</f>
        <v/>
      </c>
      <c r="AD149" s="5"/>
      <c r="AE149" s="5"/>
      <c r="AF149" s="5"/>
      <c r="AG149" s="5"/>
      <c r="AH149" s="5"/>
      <c r="AI149" s="5"/>
      <c r="AJ149" s="5"/>
      <c r="AK149" s="5"/>
      <c r="AL149" s="5"/>
      <c r="AM149" s="5"/>
    </row>
    <row r="150" spans="1:39" ht="15.75" customHeight="1">
      <c r="A150" s="8"/>
      <c r="B150" s="3"/>
      <c r="C150" s="5"/>
      <c r="D150" s="5"/>
      <c r="E150" s="5"/>
      <c r="F150" s="5"/>
      <c r="G150" s="5"/>
      <c r="H150" s="5" t="e">
        <f>#REF!&amp; " " &amp;#REF!</f>
        <v>#REF!</v>
      </c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V150" s="5"/>
      <c r="W150" s="5"/>
      <c r="X150" s="5"/>
      <c r="Y150" s="5"/>
      <c r="Z150" s="5"/>
      <c r="AA150" s="5"/>
      <c r="AB150" s="5"/>
      <c r="AC150" s="4" t="str">
        <f>IF(O197&gt;0,#REF!-O197,"")</f>
        <v/>
      </c>
      <c r="AD150" s="5"/>
      <c r="AE150" s="5"/>
      <c r="AF150" s="5"/>
      <c r="AG150" s="5"/>
      <c r="AH150" s="5"/>
      <c r="AI150" s="5"/>
      <c r="AJ150" s="5"/>
      <c r="AK150" s="5"/>
      <c r="AL150" s="5"/>
      <c r="AM150" s="5"/>
    </row>
    <row r="151" spans="1:39" ht="15.75" customHeight="1">
      <c r="A151" s="8"/>
      <c r="B151" s="3"/>
      <c r="C151" s="5"/>
      <c r="D151" s="5"/>
      <c r="E151" s="5"/>
      <c r="F151" s="5"/>
      <c r="G151" s="5"/>
      <c r="H151" s="5" t="e">
        <f>#REF!&amp; " " &amp;#REF!</f>
        <v>#REF!</v>
      </c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V151" s="5"/>
      <c r="W151" s="5"/>
      <c r="X151" s="5"/>
      <c r="Y151" s="5"/>
      <c r="Z151" s="5"/>
      <c r="AA151" s="5"/>
      <c r="AB151" s="5"/>
      <c r="AC151" s="4" t="str">
        <f>IF(O198&gt;0,#REF!-O198,"")</f>
        <v/>
      </c>
      <c r="AD151" s="5"/>
      <c r="AE151" s="5"/>
      <c r="AF151" s="5"/>
      <c r="AG151" s="5"/>
      <c r="AH151" s="5"/>
      <c r="AI151" s="5"/>
      <c r="AJ151" s="5"/>
      <c r="AK151" s="5"/>
      <c r="AL151" s="5"/>
      <c r="AM151" s="5"/>
    </row>
    <row r="152" spans="1:39" ht="15.75" customHeight="1">
      <c r="A152" s="3"/>
      <c r="B152" s="3"/>
      <c r="C152" s="5"/>
      <c r="D152" s="5"/>
      <c r="E152" s="5"/>
      <c r="F152" s="5"/>
      <c r="G152" s="5"/>
      <c r="H152" s="5" t="e">
        <f>#REF!&amp; " " &amp;#REF!</f>
        <v>#REF!</v>
      </c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V152" s="5"/>
      <c r="W152" s="5"/>
      <c r="X152" s="5"/>
      <c r="Y152" s="5"/>
      <c r="Z152" s="5"/>
      <c r="AA152" s="5"/>
      <c r="AB152" s="5"/>
      <c r="AC152" s="4" t="str">
        <f>IF(O199&gt;0,#REF!-O199,"")</f>
        <v/>
      </c>
      <c r="AD152" s="5"/>
      <c r="AE152" s="5"/>
      <c r="AF152" s="5"/>
      <c r="AG152" s="5"/>
      <c r="AH152" s="5"/>
      <c r="AI152" s="5"/>
      <c r="AJ152" s="5"/>
      <c r="AK152" s="5"/>
      <c r="AL152" s="5"/>
      <c r="AM152" s="5"/>
    </row>
    <row r="153" spans="1:39" ht="15.75" customHeight="1">
      <c r="A153" s="3"/>
      <c r="B153" s="3"/>
      <c r="C153" s="5"/>
      <c r="D153" s="5"/>
      <c r="E153" s="5"/>
      <c r="F153" s="5"/>
      <c r="G153" s="5"/>
      <c r="H153" s="5" t="e">
        <f>#REF!&amp; " " &amp;#REF!</f>
        <v>#REF!</v>
      </c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V153" s="5"/>
      <c r="W153" s="5"/>
      <c r="X153" s="5"/>
      <c r="Y153" s="5"/>
      <c r="Z153" s="5"/>
      <c r="AA153" s="5"/>
      <c r="AB153" s="5"/>
      <c r="AC153" s="4" t="str">
        <f>IF(O200&gt;0,#REF!-O200,"")</f>
        <v/>
      </c>
      <c r="AD153" s="5"/>
      <c r="AE153" s="5"/>
      <c r="AF153" s="5"/>
      <c r="AG153" s="5"/>
      <c r="AH153" s="5"/>
      <c r="AI153" s="5"/>
      <c r="AJ153" s="5"/>
      <c r="AK153" s="5"/>
      <c r="AL153" s="5"/>
      <c r="AM153" s="5"/>
    </row>
    <row r="154" spans="1:39" ht="15.75" customHeight="1">
      <c r="A154" s="3"/>
      <c r="B154" s="3"/>
      <c r="C154" s="5"/>
      <c r="D154" s="5"/>
      <c r="E154" s="5"/>
      <c r="F154" s="5"/>
      <c r="G154" s="5"/>
      <c r="H154" s="5" t="e">
        <f>#REF!&amp; " " &amp;#REF!</f>
        <v>#REF!</v>
      </c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V154" s="5"/>
      <c r="W154" s="5"/>
      <c r="X154" s="5"/>
      <c r="Y154" s="5"/>
      <c r="Z154" s="5"/>
      <c r="AA154" s="5"/>
      <c r="AB154" s="5"/>
      <c r="AC154" s="4" t="str">
        <f>IF(O201&gt;0,#REF!-O201,"")</f>
        <v/>
      </c>
      <c r="AD154" s="5"/>
      <c r="AE154" s="5"/>
      <c r="AF154" s="5"/>
      <c r="AG154" s="5"/>
      <c r="AH154" s="5"/>
      <c r="AI154" s="5"/>
      <c r="AJ154" s="5"/>
      <c r="AK154" s="5"/>
      <c r="AL154" s="5"/>
      <c r="AM154" s="5"/>
    </row>
    <row r="155" spans="1:39" ht="15.75" customHeight="1">
      <c r="A155" s="3"/>
      <c r="B155" s="3"/>
      <c r="C155" s="5"/>
      <c r="D155" s="5"/>
      <c r="E155" s="5"/>
      <c r="F155" s="5"/>
      <c r="G155" s="5"/>
      <c r="H155" s="5" t="e">
        <f>#REF!&amp; " " &amp;#REF!</f>
        <v>#REF!</v>
      </c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V155" s="5"/>
      <c r="W155" s="5"/>
      <c r="X155" s="5"/>
      <c r="Y155" s="5"/>
      <c r="Z155" s="5"/>
      <c r="AA155" s="5"/>
      <c r="AB155" s="5"/>
      <c r="AC155" s="4" t="str">
        <f>IF(O202&gt;0,#REF!-O202,"")</f>
        <v/>
      </c>
      <c r="AD155" s="5"/>
      <c r="AE155" s="5"/>
      <c r="AF155" s="5"/>
      <c r="AG155" s="5"/>
      <c r="AH155" s="5"/>
      <c r="AI155" s="5"/>
      <c r="AJ155" s="5"/>
      <c r="AK155" s="5"/>
      <c r="AL155" s="5"/>
      <c r="AM155" s="5"/>
    </row>
    <row r="156" spans="1:39" ht="15.75" customHeight="1">
      <c r="A156" s="3"/>
      <c r="B156" s="3"/>
      <c r="C156" s="5"/>
      <c r="D156" s="5"/>
      <c r="E156" s="5"/>
      <c r="F156" s="5"/>
      <c r="G156" s="5"/>
      <c r="H156" s="5" t="e">
        <f>#REF!&amp; " " &amp;#REF!</f>
        <v>#REF!</v>
      </c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V156" s="5"/>
      <c r="W156" s="5"/>
      <c r="X156" s="5"/>
      <c r="Y156" s="5"/>
      <c r="Z156" s="5"/>
      <c r="AA156" s="5"/>
      <c r="AB156" s="5"/>
      <c r="AC156" s="4" t="str">
        <f>IF(O203&gt;0,#REF!-O203,"")</f>
        <v/>
      </c>
      <c r="AD156" s="5"/>
      <c r="AE156" s="5"/>
      <c r="AF156" s="5"/>
      <c r="AG156" s="5"/>
      <c r="AH156" s="5"/>
      <c r="AI156" s="5"/>
      <c r="AJ156" s="5"/>
      <c r="AK156" s="5"/>
      <c r="AL156" s="5"/>
      <c r="AM156" s="5"/>
    </row>
    <row r="157" spans="1:39" ht="15.75" customHeight="1">
      <c r="A157" s="3"/>
      <c r="B157" s="3"/>
      <c r="C157" s="5"/>
      <c r="D157" s="5"/>
      <c r="E157" s="5"/>
      <c r="F157" s="5"/>
      <c r="G157" s="5"/>
      <c r="H157" s="5" t="e">
        <f>#REF!&amp; " " &amp;#REF!</f>
        <v>#REF!</v>
      </c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V157" s="5"/>
      <c r="W157" s="5"/>
      <c r="X157" s="5"/>
      <c r="Y157" s="5"/>
      <c r="Z157" s="5"/>
      <c r="AA157" s="5"/>
      <c r="AB157" s="5"/>
      <c r="AC157" s="4" t="str">
        <f>IF(O204&gt;0,#REF!-O204,"")</f>
        <v/>
      </c>
      <c r="AD157" s="5"/>
      <c r="AE157" s="5"/>
      <c r="AF157" s="5"/>
      <c r="AG157" s="5"/>
      <c r="AH157" s="5"/>
      <c r="AI157" s="5"/>
      <c r="AJ157" s="5"/>
      <c r="AK157" s="5"/>
      <c r="AL157" s="5"/>
      <c r="AM157" s="5"/>
    </row>
    <row r="158" spans="1:39" ht="15.75" customHeight="1">
      <c r="A158" s="3"/>
      <c r="B158" s="3"/>
      <c r="C158" s="5"/>
      <c r="D158" s="5"/>
      <c r="E158" s="5"/>
      <c r="F158" s="5"/>
      <c r="G158" s="5"/>
      <c r="H158" s="5" t="e">
        <f>#REF!&amp; " " &amp;#REF!</f>
        <v>#REF!</v>
      </c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V158" s="5"/>
      <c r="W158" s="5"/>
      <c r="X158" s="5"/>
      <c r="Y158" s="5"/>
      <c r="Z158" s="5"/>
      <c r="AA158" s="5"/>
      <c r="AB158" s="5"/>
      <c r="AC158" s="4" t="str">
        <f>IF(O205&gt;0,#REF!-O205,"")</f>
        <v/>
      </c>
      <c r="AD158" s="5"/>
      <c r="AE158" s="5"/>
      <c r="AF158" s="5"/>
      <c r="AG158" s="5"/>
      <c r="AH158" s="5"/>
      <c r="AI158" s="5"/>
      <c r="AJ158" s="5"/>
      <c r="AK158" s="5"/>
      <c r="AL158" s="5"/>
      <c r="AM158" s="5"/>
    </row>
    <row r="159" spans="1:39" ht="15.75" customHeight="1">
      <c r="A159" s="3"/>
      <c r="B159" s="3"/>
      <c r="C159" s="5"/>
      <c r="D159" s="5"/>
      <c r="E159" s="5"/>
      <c r="F159" s="5"/>
      <c r="G159" s="5"/>
      <c r="H159" s="5" t="e">
        <f>#REF!&amp; " " &amp;#REF!</f>
        <v>#REF!</v>
      </c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V159" s="5"/>
      <c r="W159" s="5"/>
      <c r="X159" s="5"/>
      <c r="Y159" s="5"/>
      <c r="Z159" s="5"/>
      <c r="AA159" s="5"/>
      <c r="AB159" s="5"/>
      <c r="AC159" s="4" t="str">
        <f>IF(O206&gt;0,#REF!-O206,"")</f>
        <v/>
      </c>
      <c r="AD159" s="5"/>
      <c r="AE159" s="5"/>
      <c r="AF159" s="5"/>
      <c r="AG159" s="5"/>
      <c r="AH159" s="5"/>
      <c r="AI159" s="5"/>
      <c r="AJ159" s="5"/>
      <c r="AK159" s="5"/>
      <c r="AL159" s="5"/>
      <c r="AM159" s="5"/>
    </row>
    <row r="160" spans="1:39" ht="15.75" customHeight="1">
      <c r="A160" s="3"/>
      <c r="B160" s="3"/>
      <c r="C160" s="5"/>
      <c r="D160" s="5"/>
      <c r="E160" s="5"/>
      <c r="F160" s="5"/>
      <c r="G160" s="5"/>
      <c r="H160" s="5" t="e">
        <f>#REF!&amp; " " &amp;#REF!</f>
        <v>#REF!</v>
      </c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V160" s="5"/>
      <c r="W160" s="5"/>
      <c r="X160" s="5"/>
      <c r="Y160" s="5"/>
      <c r="Z160" s="5"/>
      <c r="AA160" s="5"/>
      <c r="AB160" s="5"/>
      <c r="AC160" s="4" t="str">
        <f>IF(O207&gt;0,#REF!-O207,"")</f>
        <v/>
      </c>
      <c r="AD160" s="5"/>
      <c r="AE160" s="5"/>
      <c r="AF160" s="5"/>
      <c r="AG160" s="5"/>
      <c r="AH160" s="5"/>
      <c r="AI160" s="5"/>
      <c r="AJ160" s="5"/>
      <c r="AK160" s="5"/>
      <c r="AL160" s="5"/>
      <c r="AM160" s="5"/>
    </row>
    <row r="161" spans="1:39" ht="15.75" customHeight="1">
      <c r="A161" s="3"/>
      <c r="B161" s="3"/>
      <c r="C161" s="5"/>
      <c r="D161" s="5"/>
      <c r="E161" s="5"/>
      <c r="F161" s="5"/>
      <c r="G161" s="5"/>
      <c r="H161" s="5" t="e">
        <f>#REF!&amp; " " &amp;#REF!</f>
        <v>#REF!</v>
      </c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V161" s="5"/>
      <c r="W161" s="5"/>
      <c r="X161" s="5"/>
      <c r="Y161" s="5"/>
      <c r="Z161" s="5"/>
      <c r="AA161" s="5"/>
      <c r="AB161" s="5"/>
      <c r="AC161" s="4" t="str">
        <f>IF(O208&gt;0,#REF!-O208,"")</f>
        <v/>
      </c>
      <c r="AD161" s="5"/>
      <c r="AE161" s="5"/>
      <c r="AF161" s="5"/>
      <c r="AG161" s="5"/>
      <c r="AH161" s="5"/>
      <c r="AI161" s="5"/>
      <c r="AJ161" s="5"/>
      <c r="AK161" s="5"/>
      <c r="AL161" s="5"/>
      <c r="AM161" s="5"/>
    </row>
    <row r="162" spans="1:39" ht="15.75" customHeight="1">
      <c r="A162" s="3"/>
      <c r="B162" s="3"/>
      <c r="C162" s="5"/>
      <c r="D162" s="5"/>
      <c r="E162" s="5"/>
      <c r="F162" s="5"/>
      <c r="G162" s="5"/>
      <c r="H162" s="5" t="e">
        <f>#REF!&amp; " " &amp;#REF!</f>
        <v>#REF!</v>
      </c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V162" s="5"/>
      <c r="W162" s="5"/>
      <c r="X162" s="5"/>
      <c r="Y162" s="5"/>
      <c r="Z162" s="5"/>
      <c r="AA162" s="5"/>
      <c r="AB162" s="5"/>
      <c r="AC162" s="4" t="str">
        <f>IF(O209&gt;0,#REF!-O209,"")</f>
        <v/>
      </c>
      <c r="AD162" s="5"/>
      <c r="AE162" s="5"/>
      <c r="AF162" s="5"/>
      <c r="AG162" s="5"/>
      <c r="AH162" s="5"/>
      <c r="AI162" s="5"/>
      <c r="AJ162" s="5"/>
      <c r="AK162" s="5"/>
      <c r="AL162" s="5"/>
      <c r="AM162" s="5"/>
    </row>
    <row r="163" spans="1:39" ht="15.75" customHeight="1">
      <c r="A163" s="3"/>
      <c r="B163" s="3"/>
      <c r="C163" s="5"/>
      <c r="D163" s="5"/>
      <c r="E163" s="5"/>
      <c r="F163" s="5"/>
      <c r="G163" s="5"/>
      <c r="H163" s="5" t="e">
        <f>#REF!&amp; " " &amp;#REF!</f>
        <v>#REF!</v>
      </c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V163" s="5"/>
      <c r="W163" s="5"/>
      <c r="X163" s="5"/>
      <c r="Y163" s="5"/>
      <c r="Z163" s="5"/>
      <c r="AA163" s="5"/>
      <c r="AB163" s="5"/>
      <c r="AC163" s="4" t="str">
        <f>IF(O210&gt;0,#REF!-O210,"")</f>
        <v/>
      </c>
      <c r="AD163" s="5"/>
      <c r="AE163" s="5"/>
      <c r="AF163" s="5"/>
      <c r="AG163" s="5"/>
      <c r="AH163" s="5"/>
      <c r="AI163" s="5"/>
      <c r="AJ163" s="5"/>
      <c r="AK163" s="5"/>
      <c r="AL163" s="5"/>
      <c r="AM163" s="5"/>
    </row>
    <row r="164" spans="1:39" ht="15.75" customHeight="1">
      <c r="A164" s="3"/>
      <c r="B164" s="3"/>
      <c r="C164" s="5"/>
      <c r="D164" s="5"/>
      <c r="E164" s="5"/>
      <c r="F164" s="5"/>
      <c r="G164" s="5"/>
      <c r="H164" s="5" t="e">
        <f>#REF!&amp; " " &amp;#REF!</f>
        <v>#REF!</v>
      </c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V164" s="5"/>
      <c r="W164" s="5"/>
      <c r="X164" s="5"/>
      <c r="Y164" s="5"/>
      <c r="Z164" s="5"/>
      <c r="AA164" s="5"/>
      <c r="AB164" s="5"/>
      <c r="AC164" s="4" t="str">
        <f>IF(O211&gt;0,#REF!-O211,"")</f>
        <v/>
      </c>
      <c r="AD164" s="5"/>
      <c r="AE164" s="5"/>
      <c r="AF164" s="5"/>
      <c r="AG164" s="5"/>
      <c r="AH164" s="5"/>
      <c r="AI164" s="5"/>
      <c r="AJ164" s="5"/>
      <c r="AK164" s="5"/>
      <c r="AL164" s="5"/>
      <c r="AM164" s="5"/>
    </row>
    <row r="165" spans="1:39" ht="15.75" customHeight="1">
      <c r="A165" s="3"/>
      <c r="B165" s="3"/>
      <c r="C165" s="5"/>
      <c r="D165" s="5"/>
      <c r="E165" s="5"/>
      <c r="F165" s="5"/>
      <c r="G165" s="5"/>
      <c r="H165" s="5" t="e">
        <f>#REF!&amp; " " &amp;#REF!</f>
        <v>#REF!</v>
      </c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V165" s="5"/>
      <c r="W165" s="5"/>
      <c r="X165" s="5"/>
      <c r="Y165" s="5"/>
      <c r="Z165" s="5"/>
      <c r="AA165" s="5"/>
      <c r="AB165" s="5"/>
      <c r="AC165" s="4" t="str">
        <f>IF(O212&gt;0,#REF!-O212,"")</f>
        <v/>
      </c>
      <c r="AD165" s="5"/>
      <c r="AE165" s="5"/>
      <c r="AF165" s="5"/>
      <c r="AG165" s="5"/>
      <c r="AH165" s="5"/>
      <c r="AI165" s="5"/>
      <c r="AJ165" s="5"/>
      <c r="AK165" s="5"/>
      <c r="AL165" s="5"/>
      <c r="AM165" s="5"/>
    </row>
    <row r="166" spans="1:39" ht="15.75" customHeight="1">
      <c r="A166" s="3"/>
      <c r="B166" s="3"/>
      <c r="C166" s="5"/>
      <c r="D166" s="5"/>
      <c r="E166" s="5"/>
      <c r="F166" s="5"/>
      <c r="G166" s="5"/>
      <c r="H166" s="5" t="e">
        <f>#REF!&amp; " " &amp;#REF!</f>
        <v>#REF!</v>
      </c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V166" s="5"/>
      <c r="W166" s="5"/>
      <c r="X166" s="5"/>
      <c r="Y166" s="5"/>
      <c r="Z166" s="5"/>
      <c r="AA166" s="5"/>
      <c r="AB166" s="5"/>
      <c r="AC166" s="4" t="str">
        <f>IF(O213&gt;0,#REF!-O213,"")</f>
        <v/>
      </c>
      <c r="AD166" s="5"/>
      <c r="AE166" s="5"/>
      <c r="AF166" s="5"/>
      <c r="AG166" s="5"/>
      <c r="AH166" s="5"/>
      <c r="AI166" s="5"/>
      <c r="AJ166" s="5"/>
      <c r="AK166" s="5"/>
      <c r="AL166" s="5"/>
      <c r="AM166" s="5"/>
    </row>
    <row r="167" spans="1:39" ht="15.75" customHeight="1">
      <c r="A167" s="3"/>
      <c r="B167" s="3"/>
      <c r="C167" s="5"/>
      <c r="D167" s="5"/>
      <c r="E167" s="5"/>
      <c r="F167" s="5"/>
      <c r="G167" s="5"/>
      <c r="H167" s="5" t="e">
        <f>#REF!&amp; " " &amp;#REF!</f>
        <v>#REF!</v>
      </c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V167" s="5"/>
      <c r="W167" s="5"/>
      <c r="X167" s="5"/>
      <c r="Y167" s="5"/>
      <c r="Z167" s="5"/>
      <c r="AA167" s="5"/>
      <c r="AB167" s="5"/>
      <c r="AC167" s="4" t="str">
        <f>IF(O214&gt;0,#REF!-O214,"")</f>
        <v/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</row>
    <row r="168" spans="1:39" ht="15.75" customHeight="1">
      <c r="A168" s="3"/>
      <c r="B168" s="3"/>
      <c r="C168" s="5"/>
      <c r="D168" s="5"/>
      <c r="E168" s="5"/>
      <c r="F168" s="5"/>
      <c r="G168" s="5"/>
      <c r="H168" s="5" t="e">
        <f>#REF!&amp; " " &amp;#REF!</f>
        <v>#REF!</v>
      </c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V168" s="5"/>
      <c r="W168" s="5"/>
      <c r="X168" s="5"/>
      <c r="Y168" s="5"/>
      <c r="Z168" s="5"/>
      <c r="AA168" s="5"/>
      <c r="AB168" s="5"/>
      <c r="AC168" s="4" t="str">
        <f>IF(O215&gt;0,#REF!-O215,"")</f>
        <v/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</row>
    <row r="169" spans="1:39" ht="15.75" customHeight="1">
      <c r="A169" s="3"/>
      <c r="B169" s="3"/>
      <c r="C169" s="5"/>
      <c r="D169" s="5"/>
      <c r="E169" s="5"/>
      <c r="F169" s="5"/>
      <c r="G169" s="5"/>
      <c r="H169" s="5" t="e">
        <f>#REF!&amp; " " &amp;#REF!</f>
        <v>#REF!</v>
      </c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V169" s="5"/>
      <c r="W169" s="5"/>
      <c r="X169" s="5"/>
      <c r="Y169" s="5"/>
      <c r="Z169" s="5"/>
      <c r="AA169" s="5"/>
      <c r="AB169" s="5"/>
      <c r="AC169" s="4" t="str">
        <f>IF(O216&gt;0,#REF!-O216,"")</f>
        <v/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</row>
    <row r="170" spans="1:39" ht="15.75" customHeight="1">
      <c r="A170" s="3"/>
      <c r="B170" s="3"/>
      <c r="C170" s="5"/>
      <c r="D170" s="5"/>
      <c r="E170" s="5"/>
      <c r="F170" s="5"/>
      <c r="G170" s="5"/>
      <c r="H170" s="5" t="e">
        <f>#REF!&amp; " " &amp;#REF!</f>
        <v>#REF!</v>
      </c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V170" s="5"/>
      <c r="W170" s="5"/>
      <c r="X170" s="5"/>
      <c r="Y170" s="5"/>
      <c r="Z170" s="5"/>
      <c r="AA170" s="5"/>
      <c r="AB170" s="5"/>
      <c r="AC170" s="4" t="str">
        <f>IF(O217&gt;0,#REF!-O217,"")</f>
        <v/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</row>
    <row r="171" spans="1:39" ht="15.75" customHeight="1">
      <c r="A171" s="3"/>
      <c r="B171" s="3"/>
      <c r="C171" s="5"/>
      <c r="D171" s="5"/>
      <c r="E171" s="5"/>
      <c r="F171" s="5"/>
      <c r="G171" s="5"/>
      <c r="H171" s="5" t="e">
        <f>#REF!&amp; " " &amp;#REF!</f>
        <v>#REF!</v>
      </c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V171" s="5"/>
      <c r="W171" s="5"/>
      <c r="X171" s="5"/>
      <c r="Y171" s="5"/>
      <c r="Z171" s="5"/>
      <c r="AA171" s="5"/>
      <c r="AB171" s="5"/>
      <c r="AC171" s="4" t="str">
        <f>IF(O218&gt;0,#REF!-O218,"")</f>
        <v/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</row>
    <row r="172" spans="1:39" ht="15.75" customHeight="1">
      <c r="A172" s="3"/>
      <c r="B172" s="3"/>
      <c r="C172" s="5"/>
      <c r="D172" s="5"/>
      <c r="E172" s="5"/>
      <c r="F172" s="5"/>
      <c r="G172" s="5"/>
      <c r="H172" s="5" t="e">
        <f>#REF!&amp; " " &amp;#REF!</f>
        <v>#REF!</v>
      </c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V172" s="5"/>
      <c r="W172" s="5"/>
      <c r="X172" s="5"/>
      <c r="Y172" s="5"/>
      <c r="Z172" s="5"/>
      <c r="AA172" s="5"/>
      <c r="AB172" s="5"/>
      <c r="AC172" s="4" t="str">
        <f>IF(O219&gt;0,#REF!-O219,"")</f>
        <v/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</row>
    <row r="173" spans="1:39" ht="15.75" customHeight="1">
      <c r="A173" s="3"/>
      <c r="B173" s="3"/>
      <c r="C173" s="5"/>
      <c r="D173" s="5"/>
      <c r="E173" s="5"/>
      <c r="F173" s="5"/>
      <c r="G173" s="5"/>
      <c r="H173" s="5" t="e">
        <f>#REF!&amp; " " &amp;#REF!</f>
        <v>#REF!</v>
      </c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V173" s="5"/>
      <c r="W173" s="5"/>
      <c r="X173" s="5"/>
      <c r="Y173" s="5"/>
      <c r="Z173" s="5"/>
      <c r="AA173" s="5"/>
      <c r="AB173" s="5"/>
      <c r="AC173" s="4" t="str">
        <f>IF(O220&gt;0,#REF!-O220,"")</f>
        <v/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</row>
    <row r="174" spans="1:39" ht="15.75" customHeight="1">
      <c r="A174" s="3"/>
      <c r="B174" s="3"/>
      <c r="C174" s="5"/>
      <c r="D174" s="5"/>
      <c r="E174" s="5"/>
      <c r="F174" s="5"/>
      <c r="G174" s="5"/>
      <c r="H174" s="5" t="e">
        <f>#REF!&amp; " " &amp;#REF!</f>
        <v>#REF!</v>
      </c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V174" s="5"/>
      <c r="W174" s="5"/>
      <c r="X174" s="5"/>
      <c r="Y174" s="5"/>
      <c r="Z174" s="5"/>
      <c r="AA174" s="5"/>
      <c r="AB174" s="5"/>
      <c r="AC174" s="4" t="str">
        <f>IF(O221&gt;0,#REF!-O221,"")</f>
        <v/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</row>
    <row r="175" spans="1:39" ht="15.75" customHeight="1">
      <c r="A175" s="3"/>
      <c r="B175" s="3"/>
      <c r="C175" s="5"/>
      <c r="D175" s="5"/>
      <c r="E175" s="5"/>
      <c r="F175" s="5"/>
      <c r="G175" s="5"/>
      <c r="H175" s="5" t="e">
        <f>#REF!&amp; " " &amp;#REF!</f>
        <v>#REF!</v>
      </c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V175" s="5"/>
      <c r="W175" s="5"/>
      <c r="X175" s="5"/>
      <c r="Y175" s="5"/>
      <c r="Z175" s="5"/>
      <c r="AA175" s="5"/>
      <c r="AB175" s="5"/>
      <c r="AC175" s="4" t="str">
        <f>IF(O222&gt;0,#REF!-O222,"")</f>
        <v/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</row>
    <row r="176" spans="1:39" ht="15.75" customHeight="1">
      <c r="A176" s="3"/>
      <c r="B176" s="3"/>
      <c r="C176" s="5"/>
      <c r="D176" s="5"/>
      <c r="E176" s="5"/>
      <c r="F176" s="5"/>
      <c r="G176" s="5"/>
      <c r="H176" s="5" t="e">
        <f>#REF!&amp; " " &amp;#REF!</f>
        <v>#REF!</v>
      </c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V176" s="5"/>
      <c r="W176" s="5"/>
      <c r="X176" s="5"/>
      <c r="Y176" s="5"/>
      <c r="Z176" s="5"/>
      <c r="AA176" s="5"/>
      <c r="AB176" s="5"/>
      <c r="AC176" s="4" t="str">
        <f>IF(O223&gt;0,#REF!-O223,"")</f>
        <v/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</row>
    <row r="177" spans="1:39" ht="15.75" customHeight="1">
      <c r="A177" s="3"/>
      <c r="B177" s="3"/>
      <c r="C177" s="5"/>
      <c r="D177" s="5"/>
      <c r="E177" s="5"/>
      <c r="F177" s="5"/>
      <c r="G177" s="5"/>
      <c r="H177" s="5" t="e">
        <f>#REF!&amp; " " &amp;#REF!</f>
        <v>#REF!</v>
      </c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V177" s="5"/>
      <c r="W177" s="5"/>
      <c r="X177" s="5"/>
      <c r="Y177" s="5"/>
      <c r="Z177" s="5"/>
      <c r="AA177" s="5"/>
      <c r="AB177" s="5"/>
      <c r="AC177" s="4" t="str">
        <f>IF(O224&gt;0,#REF!-O224,"")</f>
        <v/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</row>
    <row r="178" spans="1:39" ht="15.75" customHeight="1">
      <c r="A178" s="3"/>
      <c r="B178" s="3"/>
      <c r="C178" s="5"/>
      <c r="D178" s="5"/>
      <c r="E178" s="5"/>
      <c r="F178" s="5"/>
      <c r="G178" s="5"/>
      <c r="H178" s="5" t="e">
        <f>#REF!&amp; " " &amp;#REF!</f>
        <v>#REF!</v>
      </c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V178" s="5"/>
      <c r="W178" s="5"/>
      <c r="X178" s="5"/>
      <c r="Y178" s="5"/>
      <c r="Z178" s="5"/>
      <c r="AA178" s="5"/>
      <c r="AB178" s="5"/>
      <c r="AC178" s="4" t="str">
        <f>IF(O225&gt;0,#REF!-O225,"")</f>
        <v/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</row>
    <row r="179" spans="1:39" ht="15.75" customHeight="1">
      <c r="A179" s="3"/>
      <c r="B179" s="3"/>
      <c r="C179" s="5"/>
      <c r="D179" s="5"/>
      <c r="E179" s="5"/>
      <c r="F179" s="5"/>
      <c r="G179" s="5"/>
      <c r="H179" s="5" t="e">
        <f>#REF!&amp; " " &amp;#REF!</f>
        <v>#REF!</v>
      </c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V179" s="5"/>
      <c r="W179" s="5"/>
      <c r="X179" s="5"/>
      <c r="Y179" s="5"/>
      <c r="Z179" s="5"/>
      <c r="AA179" s="5"/>
      <c r="AB179" s="5"/>
      <c r="AC179" s="4" t="str">
        <f>IF(O226&gt;0,#REF!-O226,"")</f>
        <v/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</row>
    <row r="180" spans="1:39" ht="15.75" customHeight="1">
      <c r="A180" s="3"/>
      <c r="B180" s="3"/>
      <c r="C180" s="5"/>
      <c r="D180" s="5"/>
      <c r="E180" s="5"/>
      <c r="F180" s="5"/>
      <c r="G180" s="5"/>
      <c r="H180" s="5" t="e">
        <f>#REF!&amp; " " &amp;#REF!</f>
        <v>#REF!</v>
      </c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V180" s="5"/>
      <c r="W180" s="5"/>
      <c r="X180" s="5"/>
      <c r="Y180" s="5"/>
      <c r="Z180" s="5"/>
      <c r="AA180" s="5"/>
      <c r="AB180" s="5"/>
      <c r="AC180" s="4" t="str">
        <f>IF(O227&gt;0,#REF!-O227,"")</f>
        <v/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</row>
    <row r="181" spans="1:39" ht="15.75" customHeight="1">
      <c r="A181" s="3"/>
      <c r="B181" s="3"/>
      <c r="C181" s="5"/>
      <c r="D181" s="5"/>
      <c r="E181" s="5"/>
      <c r="F181" s="5"/>
      <c r="G181" s="5"/>
      <c r="H181" s="5" t="e">
        <f>#REF!&amp; " " &amp;#REF!</f>
        <v>#REF!</v>
      </c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V181" s="5"/>
      <c r="W181" s="5"/>
      <c r="X181" s="5"/>
      <c r="Y181" s="5"/>
      <c r="Z181" s="5"/>
      <c r="AA181" s="5"/>
      <c r="AB181" s="5"/>
      <c r="AC181" s="4" t="str">
        <f>IF(O228&gt;0,#REF!-O228,"")</f>
        <v/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</row>
    <row r="182" spans="1:39" ht="15.75" customHeight="1">
      <c r="A182" s="3"/>
      <c r="B182" s="3"/>
      <c r="C182" s="5"/>
      <c r="D182" s="5"/>
      <c r="E182" s="5"/>
      <c r="F182" s="5"/>
      <c r="G182" s="5"/>
      <c r="H182" s="5" t="e">
        <f>#REF!&amp; " " &amp;#REF!</f>
        <v>#REF!</v>
      </c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V182" s="5"/>
      <c r="W182" s="5"/>
      <c r="X182" s="5"/>
      <c r="Y182" s="5"/>
      <c r="Z182" s="5"/>
      <c r="AA182" s="5"/>
      <c r="AB182" s="5"/>
      <c r="AC182" s="4" t="str">
        <f>IF(O229&gt;0,#REF!-O229,"")</f>
        <v/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</row>
    <row r="183" spans="1:39" ht="15.75" customHeight="1">
      <c r="A183" s="3"/>
      <c r="B183" s="3"/>
      <c r="C183" s="5"/>
      <c r="D183" s="5"/>
      <c r="E183" s="5"/>
      <c r="F183" s="5"/>
      <c r="G183" s="5"/>
      <c r="H183" s="5" t="e">
        <f>#REF!&amp; " " &amp;#REF!</f>
        <v>#REF!</v>
      </c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V183" s="5"/>
      <c r="W183" s="5"/>
      <c r="X183" s="5"/>
      <c r="Y183" s="5"/>
      <c r="Z183" s="5"/>
      <c r="AA183" s="5"/>
      <c r="AB183" s="5"/>
      <c r="AC183" s="4" t="str">
        <f>IF(O230&gt;0,#REF!-O230,"")</f>
        <v/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</row>
    <row r="184" spans="1:39" ht="15.75" customHeight="1">
      <c r="A184" s="3"/>
      <c r="B184" s="3"/>
      <c r="C184" s="5"/>
      <c r="D184" s="5"/>
      <c r="E184" s="5"/>
      <c r="F184" s="5"/>
      <c r="G184" s="5"/>
      <c r="H184" s="5" t="e">
        <f>#REF!&amp; " " &amp;#REF!</f>
        <v>#REF!</v>
      </c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V184" s="5"/>
      <c r="W184" s="5"/>
      <c r="X184" s="5"/>
      <c r="Y184" s="5"/>
      <c r="Z184" s="5"/>
      <c r="AA184" s="5"/>
      <c r="AB184" s="5"/>
      <c r="AC184" s="4" t="str">
        <f>IF(O231&gt;0,#REF!-O231,"")</f>
        <v/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</row>
    <row r="185" spans="1:39" ht="15.75" customHeight="1">
      <c r="A185" s="3"/>
      <c r="B185" s="3"/>
      <c r="C185" s="5"/>
      <c r="D185" s="5"/>
      <c r="E185" s="5"/>
      <c r="F185" s="5"/>
      <c r="G185" s="5"/>
      <c r="H185" s="5" t="e">
        <f>#REF!&amp; " " &amp;#REF!</f>
        <v>#REF!</v>
      </c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V185" s="5"/>
      <c r="W185" s="5"/>
      <c r="X185" s="5"/>
      <c r="Y185" s="5"/>
      <c r="Z185" s="5"/>
      <c r="AA185" s="5"/>
      <c r="AB185" s="5"/>
      <c r="AC185" s="4" t="str">
        <f>IF(O232&gt;0,#REF!-O232,"")</f>
        <v/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</row>
    <row r="186" spans="1:39" ht="15.75" customHeight="1">
      <c r="A186" s="3"/>
      <c r="B186" s="3"/>
      <c r="C186" s="5"/>
      <c r="D186" s="5"/>
      <c r="E186" s="5"/>
      <c r="F186" s="5"/>
      <c r="G186" s="5"/>
      <c r="H186" s="5" t="e">
        <f>#REF!&amp; " " &amp;#REF!</f>
        <v>#REF!</v>
      </c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V186" s="5"/>
      <c r="W186" s="5"/>
      <c r="X186" s="5"/>
      <c r="Y186" s="5"/>
      <c r="Z186" s="5"/>
      <c r="AA186" s="5"/>
      <c r="AB186" s="5"/>
      <c r="AC186" s="4" t="str">
        <f>IF(O233&gt;0,#REF!-O233,"")</f>
        <v/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</row>
    <row r="187" spans="1:39" ht="15.75" customHeight="1">
      <c r="A187" s="3"/>
      <c r="B187" s="3"/>
      <c r="C187" s="5"/>
      <c r="D187" s="5"/>
      <c r="E187" s="5"/>
      <c r="F187" s="5"/>
      <c r="G187" s="5"/>
      <c r="H187" s="5" t="e">
        <f>#REF!&amp; " " &amp;#REF!</f>
        <v>#REF!</v>
      </c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V187" s="5"/>
      <c r="W187" s="5"/>
      <c r="X187" s="5"/>
      <c r="Y187" s="5"/>
      <c r="Z187" s="5"/>
      <c r="AA187" s="5"/>
      <c r="AB187" s="5"/>
      <c r="AC187" s="4" t="str">
        <f>IF(O234&gt;0,#REF!-O234,"")</f>
        <v/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</row>
    <row r="188" spans="1:39" ht="15.75" customHeight="1">
      <c r="A188" s="3"/>
      <c r="B188" s="3"/>
      <c r="C188" s="5"/>
      <c r="D188" s="5"/>
      <c r="E188" s="5"/>
      <c r="F188" s="5"/>
      <c r="G188" s="5"/>
      <c r="H188" s="5" t="e">
        <f>#REF!&amp; " " &amp;#REF!</f>
        <v>#REF!</v>
      </c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V188" s="5"/>
      <c r="W188" s="5"/>
      <c r="X188" s="5"/>
      <c r="Y188" s="5"/>
      <c r="Z188" s="5"/>
      <c r="AA188" s="5"/>
      <c r="AB188" s="5"/>
      <c r="AC188" s="4" t="str">
        <f>IF(O235&gt;0,#REF!-O235,"")</f>
        <v/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</row>
    <row r="189" spans="1:39" ht="15.75" customHeight="1">
      <c r="A189" s="3"/>
      <c r="B189" s="3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V189" s="5"/>
      <c r="W189" s="5"/>
      <c r="X189" s="5"/>
      <c r="Y189" s="5"/>
      <c r="Z189" s="5"/>
      <c r="AA189" s="5"/>
      <c r="AB189" s="5"/>
      <c r="AC189" s="4" t="str">
        <f>IF(O236&gt;0,#REF!-O236,"")</f>
        <v/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</row>
    <row r="190" spans="1:39" ht="15.75" customHeight="1">
      <c r="A190" s="3"/>
      <c r="B190" s="3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V190" s="5"/>
      <c r="W190" s="5"/>
      <c r="X190" s="5"/>
      <c r="Y190" s="5"/>
      <c r="Z190" s="5"/>
      <c r="AA190" s="5"/>
      <c r="AB190" s="5"/>
      <c r="AC190" s="4" t="str">
        <f>IF(O237&gt;0,#REF!-O237,"")</f>
        <v/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</row>
    <row r="191" spans="1:39" ht="15.75" customHeight="1">
      <c r="A191" s="3"/>
      <c r="B191" s="3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V191" s="5"/>
      <c r="W191" s="5"/>
      <c r="X191" s="5"/>
      <c r="Y191" s="5"/>
      <c r="Z191" s="5"/>
      <c r="AA191" s="5"/>
      <c r="AB191" s="5"/>
      <c r="AC191" s="4" t="str">
        <f>IF(O238&gt;0,#REF!-O238,"")</f>
        <v/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</row>
    <row r="192" spans="1:39" ht="15.75" customHeight="1">
      <c r="A192" s="3"/>
      <c r="B192" s="3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V192" s="5"/>
      <c r="W192" s="5"/>
      <c r="X192" s="5"/>
      <c r="Y192" s="5"/>
      <c r="Z192" s="5"/>
      <c r="AA192" s="5"/>
      <c r="AB192" s="5"/>
      <c r="AC192" s="4" t="str">
        <f>IF(O239&gt;0,#REF!-O239,"")</f>
        <v/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</row>
    <row r="193" spans="1:39" ht="15.75" customHeight="1">
      <c r="A193" s="3"/>
      <c r="B193" s="3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V193" s="5"/>
      <c r="W193" s="5"/>
      <c r="X193" s="5"/>
      <c r="Y193" s="5"/>
      <c r="Z193" s="5"/>
      <c r="AA193" s="5"/>
      <c r="AB193" s="5"/>
      <c r="AC193" s="4" t="str">
        <f>IF(O240&gt;0,#REF!-O240,"")</f>
        <v/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</row>
    <row r="194" spans="1:39" ht="15.75" customHeight="1">
      <c r="A194" s="3"/>
      <c r="B194" s="3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V194" s="5"/>
      <c r="W194" s="5"/>
      <c r="X194" s="5"/>
      <c r="Y194" s="5"/>
      <c r="Z194" s="5"/>
      <c r="AA194" s="5"/>
      <c r="AB194" s="5"/>
      <c r="AC194" s="4" t="str">
        <f>IF(O241&gt;0,#REF!-O241,"")</f>
        <v/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</row>
    <row r="195" spans="1:39" ht="15.75" customHeight="1">
      <c r="A195" s="3"/>
      <c r="B195" s="3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V195" s="5"/>
      <c r="W195" s="5"/>
      <c r="X195" s="5"/>
      <c r="Y195" s="5"/>
      <c r="Z195" s="5"/>
      <c r="AA195" s="5"/>
      <c r="AB195" s="5"/>
      <c r="AC195" s="4" t="str">
        <f>IF(O242&gt;0,#REF!-O242,"")</f>
        <v/>
      </c>
      <c r="AD195" s="5"/>
      <c r="AE195" s="5"/>
      <c r="AF195" s="5"/>
      <c r="AG195" s="5"/>
      <c r="AH195" s="5"/>
      <c r="AI195" s="5"/>
      <c r="AJ195" s="5"/>
      <c r="AK195" s="5"/>
      <c r="AL195" s="5"/>
      <c r="AM195" s="5"/>
    </row>
    <row r="196" spans="1:39" ht="15.75" customHeight="1">
      <c r="A196" s="3"/>
      <c r="B196" s="3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V196" s="5"/>
      <c r="W196" s="5"/>
      <c r="X196" s="5"/>
      <c r="Y196" s="5"/>
      <c r="Z196" s="5"/>
      <c r="AA196" s="5"/>
      <c r="AB196" s="5"/>
      <c r="AC196" s="4" t="str">
        <f>IF(O243&gt;0,#REF!-O243,"")</f>
        <v/>
      </c>
      <c r="AD196" s="5"/>
      <c r="AE196" s="5"/>
      <c r="AF196" s="5"/>
      <c r="AG196" s="5"/>
      <c r="AH196" s="5"/>
      <c r="AI196" s="5"/>
      <c r="AJ196" s="5"/>
      <c r="AK196" s="5"/>
      <c r="AL196" s="5"/>
      <c r="AM196" s="5"/>
    </row>
    <row r="197" spans="1:39" ht="15.75" customHeight="1">
      <c r="A197" s="3"/>
      <c r="B197" s="3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V197" s="5"/>
      <c r="W197" s="5"/>
      <c r="X197" s="5"/>
      <c r="Y197" s="5"/>
      <c r="Z197" s="5"/>
      <c r="AA197" s="5"/>
      <c r="AB197" s="5"/>
      <c r="AC197" s="4" t="str">
        <f>IF(O244&gt;0,#REF!-O244,"")</f>
        <v/>
      </c>
      <c r="AD197" s="5"/>
      <c r="AE197" s="5"/>
      <c r="AF197" s="5"/>
      <c r="AG197" s="5"/>
      <c r="AH197" s="5"/>
      <c r="AI197" s="5"/>
      <c r="AJ197" s="5"/>
      <c r="AK197" s="5"/>
      <c r="AL197" s="5"/>
      <c r="AM197" s="5"/>
    </row>
    <row r="198" spans="1:39" ht="15.75" customHeight="1">
      <c r="A198" s="3"/>
      <c r="B198" s="3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V198" s="5"/>
      <c r="W198" s="5"/>
      <c r="X198" s="5"/>
      <c r="Y198" s="5"/>
      <c r="Z198" s="5"/>
      <c r="AA198" s="5"/>
      <c r="AB198" s="5"/>
      <c r="AC198" s="4" t="str">
        <f>IF(O245&gt;0,#REF!-O245,"")</f>
        <v/>
      </c>
      <c r="AD198" s="5"/>
      <c r="AE198" s="5"/>
      <c r="AF198" s="5"/>
      <c r="AG198" s="5"/>
      <c r="AH198" s="5"/>
      <c r="AI198" s="5"/>
      <c r="AJ198" s="5"/>
      <c r="AK198" s="5"/>
      <c r="AL198" s="5"/>
      <c r="AM198" s="5"/>
    </row>
    <row r="199" spans="1:39" ht="15.75" customHeight="1">
      <c r="A199" s="3"/>
      <c r="B199" s="3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V199" s="5"/>
      <c r="W199" s="5"/>
      <c r="X199" s="5"/>
      <c r="Y199" s="5"/>
      <c r="Z199" s="5"/>
      <c r="AA199" s="5"/>
      <c r="AB199" s="5"/>
      <c r="AC199" s="4" t="str">
        <f>IF(O246&gt;0,#REF!-O246,"")</f>
        <v/>
      </c>
      <c r="AD199" s="5"/>
      <c r="AE199" s="5"/>
      <c r="AF199" s="5"/>
      <c r="AG199" s="5"/>
      <c r="AH199" s="5"/>
      <c r="AI199" s="5"/>
      <c r="AJ199" s="5"/>
      <c r="AK199" s="5"/>
      <c r="AL199" s="5"/>
      <c r="AM199" s="5"/>
    </row>
    <row r="200" spans="1:39" ht="15.75" customHeight="1">
      <c r="A200" s="3"/>
      <c r="B200" s="3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V200" s="5"/>
      <c r="W200" s="5"/>
      <c r="X200" s="5"/>
      <c r="Y200" s="5"/>
      <c r="Z200" s="5"/>
      <c r="AA200" s="5"/>
      <c r="AB200" s="5"/>
      <c r="AC200" s="4" t="str">
        <f>IF(O247&gt;0,#REF!-O247,"")</f>
        <v/>
      </c>
      <c r="AD200" s="5"/>
      <c r="AE200" s="5"/>
      <c r="AF200" s="5"/>
      <c r="AG200" s="5"/>
      <c r="AH200" s="5"/>
      <c r="AI200" s="5"/>
      <c r="AJ200" s="5"/>
      <c r="AK200" s="5"/>
      <c r="AL200" s="5"/>
      <c r="AM200" s="5"/>
    </row>
    <row r="201" spans="1:39" ht="15.75" customHeight="1">
      <c r="A201" s="3"/>
      <c r="B201" s="3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V201" s="5"/>
      <c r="W201" s="5"/>
      <c r="X201" s="5"/>
      <c r="Y201" s="5"/>
      <c r="Z201" s="5"/>
      <c r="AA201" s="5"/>
      <c r="AB201" s="5"/>
      <c r="AC201" s="4" t="str">
        <f>IF(O248&gt;0,#REF!-O248,"")</f>
        <v/>
      </c>
      <c r="AD201" s="5"/>
      <c r="AE201" s="5"/>
      <c r="AF201" s="5"/>
      <c r="AG201" s="5"/>
      <c r="AH201" s="5"/>
      <c r="AI201" s="5"/>
      <c r="AJ201" s="5"/>
      <c r="AK201" s="5"/>
      <c r="AL201" s="5"/>
      <c r="AM201" s="5"/>
    </row>
    <row r="202" spans="1:39" ht="15.75" customHeight="1">
      <c r="A202" s="3"/>
      <c r="B202" s="3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V202" s="5"/>
      <c r="W202" s="5"/>
      <c r="X202" s="5"/>
      <c r="Y202" s="5"/>
      <c r="Z202" s="5"/>
      <c r="AA202" s="5"/>
      <c r="AB202" s="5"/>
      <c r="AC202" s="4" t="str">
        <f>IF(O249&gt;0,#REF!-O249,"")</f>
        <v/>
      </c>
      <c r="AD202" s="5"/>
      <c r="AE202" s="5"/>
      <c r="AF202" s="5"/>
      <c r="AG202" s="5"/>
      <c r="AH202" s="5"/>
      <c r="AI202" s="5"/>
      <c r="AJ202" s="5"/>
      <c r="AK202" s="5"/>
      <c r="AL202" s="5"/>
      <c r="AM202" s="5"/>
    </row>
    <row r="203" spans="1:39" ht="15.75" customHeight="1">
      <c r="A203" s="3"/>
      <c r="B203" s="3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V203" s="5"/>
      <c r="W203" s="5"/>
      <c r="X203" s="5"/>
      <c r="Y203" s="5"/>
      <c r="Z203" s="5"/>
      <c r="AA203" s="5"/>
      <c r="AB203" s="5"/>
      <c r="AC203" s="4" t="str">
        <f>IF(O250&gt;0,#REF!-O250,"")</f>
        <v/>
      </c>
      <c r="AD203" s="5"/>
      <c r="AE203" s="5"/>
      <c r="AF203" s="5"/>
      <c r="AG203" s="5"/>
      <c r="AH203" s="5"/>
      <c r="AI203" s="5"/>
      <c r="AJ203" s="5"/>
      <c r="AK203" s="5"/>
      <c r="AL203" s="5"/>
      <c r="AM203" s="5"/>
    </row>
    <row r="204" spans="1:39" ht="15.75" customHeight="1">
      <c r="A204" s="3"/>
      <c r="B204" s="3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V204" s="5"/>
      <c r="W204" s="5"/>
      <c r="X204" s="5"/>
      <c r="Y204" s="5"/>
      <c r="Z204" s="5"/>
      <c r="AA204" s="5"/>
      <c r="AB204" s="5"/>
      <c r="AC204" s="4" t="str">
        <f>IF(O251&gt;0,#REF!-O251,"")</f>
        <v/>
      </c>
      <c r="AD204" s="5"/>
      <c r="AE204" s="5"/>
      <c r="AF204" s="5"/>
      <c r="AG204" s="5"/>
      <c r="AH204" s="5"/>
      <c r="AI204" s="5"/>
      <c r="AJ204" s="5"/>
      <c r="AK204" s="5"/>
      <c r="AL204" s="5"/>
      <c r="AM204" s="5"/>
    </row>
    <row r="205" spans="1:39" ht="15.75" customHeight="1">
      <c r="A205" s="3"/>
      <c r="B205" s="3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V205" s="5"/>
      <c r="W205" s="5"/>
      <c r="X205" s="5"/>
      <c r="Y205" s="5"/>
      <c r="Z205" s="5"/>
      <c r="AA205" s="5"/>
      <c r="AB205" s="5"/>
      <c r="AC205" s="4" t="str">
        <f>IF(O252&gt;0,#REF!-O252,"")</f>
        <v/>
      </c>
      <c r="AD205" s="5"/>
      <c r="AE205" s="5"/>
      <c r="AF205" s="5"/>
      <c r="AG205" s="5"/>
      <c r="AH205" s="5"/>
      <c r="AI205" s="5"/>
      <c r="AJ205" s="5"/>
      <c r="AK205" s="5"/>
      <c r="AL205" s="5"/>
      <c r="AM205" s="5"/>
    </row>
    <row r="206" spans="1:39" ht="15.75" customHeight="1">
      <c r="A206" s="3"/>
      <c r="B206" s="3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V206" s="5"/>
      <c r="W206" s="5"/>
      <c r="X206" s="5"/>
      <c r="Y206" s="5"/>
      <c r="Z206" s="5"/>
      <c r="AA206" s="5"/>
      <c r="AB206" s="5"/>
      <c r="AC206" s="4" t="str">
        <f>IF(O253&gt;0,#REF!-O253,"")</f>
        <v/>
      </c>
      <c r="AD206" s="5"/>
      <c r="AE206" s="5"/>
      <c r="AF206" s="5"/>
      <c r="AG206" s="5"/>
      <c r="AH206" s="5"/>
      <c r="AI206" s="5"/>
      <c r="AJ206" s="5"/>
      <c r="AK206" s="5"/>
      <c r="AL206" s="5"/>
      <c r="AM206" s="5"/>
    </row>
    <row r="207" spans="1:39" ht="15.75" customHeight="1">
      <c r="A207" s="3"/>
      <c r="B207" s="3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V207" s="5"/>
      <c r="W207" s="5"/>
      <c r="X207" s="5"/>
      <c r="Y207" s="5"/>
      <c r="Z207" s="5"/>
      <c r="AA207" s="5"/>
      <c r="AB207" s="5"/>
      <c r="AC207" s="4" t="str">
        <f>IF(O254&gt;0,#REF!-O254,"")</f>
        <v/>
      </c>
      <c r="AD207" s="5"/>
      <c r="AE207" s="5"/>
      <c r="AF207" s="5"/>
      <c r="AG207" s="5"/>
      <c r="AH207" s="5"/>
      <c r="AI207" s="5"/>
      <c r="AJ207" s="5"/>
      <c r="AK207" s="5"/>
      <c r="AL207" s="5"/>
      <c r="AM207" s="5"/>
    </row>
    <row r="208" spans="1:39" ht="15.75" customHeight="1">
      <c r="A208" s="3"/>
      <c r="B208" s="3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V208" s="5"/>
      <c r="W208" s="5"/>
      <c r="X208" s="5"/>
      <c r="Y208" s="5"/>
      <c r="Z208" s="5"/>
      <c r="AA208" s="5"/>
      <c r="AB208" s="5"/>
      <c r="AC208" s="4" t="str">
        <f>IF(O255&gt;0,#REF!-O255,"")</f>
        <v/>
      </c>
      <c r="AD208" s="5"/>
      <c r="AE208" s="5"/>
      <c r="AF208" s="5"/>
      <c r="AG208" s="5"/>
      <c r="AH208" s="5"/>
      <c r="AI208" s="5"/>
      <c r="AJ208" s="5"/>
      <c r="AK208" s="5"/>
      <c r="AL208" s="5"/>
      <c r="AM208" s="5"/>
    </row>
    <row r="209" spans="1:39" ht="15.75" customHeight="1">
      <c r="A209" s="3"/>
      <c r="B209" s="3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V209" s="5"/>
      <c r="W209" s="5"/>
      <c r="X209" s="5"/>
      <c r="Y209" s="5"/>
      <c r="Z209" s="5"/>
      <c r="AA209" s="5"/>
      <c r="AB209" s="5"/>
      <c r="AC209" s="4" t="str">
        <f>IF(O256&gt;0,#REF!-O256,"")</f>
        <v/>
      </c>
      <c r="AD209" s="5"/>
      <c r="AE209" s="5"/>
      <c r="AF209" s="5"/>
      <c r="AG209" s="5"/>
      <c r="AH209" s="5"/>
      <c r="AI209" s="5"/>
      <c r="AJ209" s="5"/>
      <c r="AK209" s="5"/>
      <c r="AL209" s="5"/>
      <c r="AM209" s="5"/>
    </row>
    <row r="210" spans="1:39" ht="15.75" customHeight="1">
      <c r="A210" s="3"/>
      <c r="B210" s="3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V210" s="5"/>
      <c r="W210" s="5"/>
      <c r="X210" s="5"/>
      <c r="Y210" s="5"/>
      <c r="Z210" s="5"/>
      <c r="AA210" s="5"/>
      <c r="AB210" s="5"/>
      <c r="AC210" s="4" t="str">
        <f>IF(O257&gt;0,#REF!-O257,"")</f>
        <v/>
      </c>
      <c r="AD210" s="5"/>
      <c r="AE210" s="5"/>
      <c r="AF210" s="5"/>
      <c r="AG210" s="5"/>
      <c r="AH210" s="5"/>
      <c r="AI210" s="5"/>
      <c r="AJ210" s="5"/>
      <c r="AK210" s="5"/>
      <c r="AL210" s="5"/>
      <c r="AM210" s="5"/>
    </row>
    <row r="211" spans="1:39" ht="15.75" customHeight="1">
      <c r="A211" s="3"/>
      <c r="B211" s="3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V211" s="5"/>
      <c r="W211" s="5"/>
      <c r="X211" s="5"/>
      <c r="Y211" s="5"/>
      <c r="Z211" s="5"/>
      <c r="AA211" s="5"/>
      <c r="AB211" s="5"/>
      <c r="AC211" s="4" t="str">
        <f>IF(O258&gt;0,#REF!-O258,"")</f>
        <v/>
      </c>
      <c r="AD211" s="5"/>
      <c r="AE211" s="5"/>
      <c r="AF211" s="5"/>
      <c r="AG211" s="5"/>
      <c r="AH211" s="5"/>
      <c r="AI211" s="5"/>
      <c r="AJ211" s="5"/>
      <c r="AK211" s="5"/>
      <c r="AL211" s="5"/>
      <c r="AM211" s="5"/>
    </row>
    <row r="212" spans="1:39" ht="15.75" customHeight="1">
      <c r="A212" s="3"/>
      <c r="B212" s="3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V212" s="5"/>
      <c r="W212" s="5"/>
      <c r="X212" s="5"/>
      <c r="Y212" s="5"/>
      <c r="Z212" s="5"/>
      <c r="AA212" s="5"/>
      <c r="AB212" s="5"/>
      <c r="AC212" s="4" t="str">
        <f>IF(O259&gt;0,#REF!-O259,"")</f>
        <v/>
      </c>
      <c r="AD212" s="5"/>
      <c r="AE212" s="5"/>
      <c r="AF212" s="5"/>
      <c r="AG212" s="5"/>
      <c r="AH212" s="5"/>
      <c r="AI212" s="5"/>
      <c r="AJ212" s="5"/>
      <c r="AK212" s="5"/>
      <c r="AL212" s="5"/>
      <c r="AM212" s="5"/>
    </row>
    <row r="213" spans="1:39" ht="15.75" customHeight="1">
      <c r="A213" s="3"/>
      <c r="B213" s="3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V213" s="5"/>
      <c r="W213" s="5"/>
      <c r="X213" s="5"/>
      <c r="Y213" s="5"/>
      <c r="Z213" s="5"/>
      <c r="AA213" s="5"/>
      <c r="AB213" s="5"/>
      <c r="AC213" s="4" t="str">
        <f>IF(O260&gt;0,#REF!-O260,"")</f>
        <v/>
      </c>
      <c r="AD213" s="5"/>
      <c r="AE213" s="5"/>
      <c r="AF213" s="5"/>
      <c r="AG213" s="5"/>
      <c r="AH213" s="5"/>
      <c r="AI213" s="5"/>
      <c r="AJ213" s="5"/>
      <c r="AK213" s="5"/>
      <c r="AL213" s="5"/>
      <c r="AM213" s="5"/>
    </row>
    <row r="214" spans="1:39" ht="15.75" customHeight="1">
      <c r="A214" s="3"/>
      <c r="B214" s="3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V214" s="5"/>
      <c r="W214" s="5"/>
      <c r="X214" s="5"/>
      <c r="Y214" s="5"/>
      <c r="Z214" s="5"/>
      <c r="AA214" s="5"/>
      <c r="AB214" s="5"/>
      <c r="AC214" s="4" t="str">
        <f>IF(O261&gt;0,#REF!-O261,"")</f>
        <v/>
      </c>
      <c r="AD214" s="5"/>
      <c r="AE214" s="5"/>
      <c r="AF214" s="5"/>
      <c r="AG214" s="5"/>
      <c r="AH214" s="5"/>
      <c r="AI214" s="5"/>
      <c r="AJ214" s="5"/>
      <c r="AK214" s="5"/>
      <c r="AL214" s="5"/>
      <c r="AM214" s="5"/>
    </row>
    <row r="215" spans="1:39" ht="15.75" customHeight="1">
      <c r="A215" s="3"/>
      <c r="B215" s="3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V215" s="5"/>
      <c r="W215" s="5"/>
      <c r="X215" s="5"/>
      <c r="Y215" s="5"/>
      <c r="Z215" s="5"/>
      <c r="AA215" s="5"/>
      <c r="AB215" s="5"/>
      <c r="AC215" s="4" t="str">
        <f>IF(O262&gt;0,#REF!-O262,"")</f>
        <v/>
      </c>
      <c r="AD215" s="5"/>
      <c r="AE215" s="5"/>
      <c r="AF215" s="5"/>
      <c r="AG215" s="5"/>
      <c r="AH215" s="5"/>
      <c r="AI215" s="5"/>
      <c r="AJ215" s="5"/>
      <c r="AK215" s="5"/>
      <c r="AL215" s="5"/>
      <c r="AM215" s="5"/>
    </row>
    <row r="216" spans="1:39" ht="15.75" customHeight="1">
      <c r="A216" s="3"/>
      <c r="B216" s="3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V216" s="5"/>
      <c r="W216" s="5"/>
      <c r="X216" s="5"/>
      <c r="Y216" s="5"/>
      <c r="Z216" s="5"/>
      <c r="AA216" s="5"/>
      <c r="AB216" s="5"/>
      <c r="AC216" s="4" t="str">
        <f>IF(O263&gt;0,#REF!-O263,"")</f>
        <v/>
      </c>
      <c r="AD216" s="5"/>
      <c r="AE216" s="5"/>
      <c r="AF216" s="5"/>
      <c r="AG216" s="5"/>
      <c r="AH216" s="5"/>
      <c r="AI216" s="5"/>
      <c r="AJ216" s="5"/>
      <c r="AK216" s="5"/>
      <c r="AL216" s="5"/>
      <c r="AM216" s="5"/>
    </row>
    <row r="217" spans="1:39" ht="15.75" customHeight="1">
      <c r="A217" s="3"/>
      <c r="B217" s="3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V217" s="5"/>
      <c r="W217" s="5"/>
      <c r="X217" s="5"/>
      <c r="Y217" s="5"/>
      <c r="Z217" s="5"/>
      <c r="AA217" s="5"/>
      <c r="AB217" s="5"/>
      <c r="AC217" s="4" t="str">
        <f>IF(O264&gt;0,#REF!-O264,"")</f>
        <v/>
      </c>
      <c r="AD217" s="5"/>
      <c r="AE217" s="5"/>
      <c r="AF217" s="5"/>
      <c r="AG217" s="5"/>
      <c r="AH217" s="5"/>
      <c r="AI217" s="5"/>
      <c r="AJ217" s="5"/>
      <c r="AK217" s="5"/>
      <c r="AL217" s="5"/>
      <c r="AM217" s="5"/>
    </row>
    <row r="218" spans="1:39" ht="15.75" customHeight="1">
      <c r="A218" s="3"/>
      <c r="B218" s="3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V218" s="5"/>
      <c r="W218" s="5"/>
      <c r="X218" s="5"/>
      <c r="Y218" s="5"/>
      <c r="Z218" s="5"/>
      <c r="AA218" s="5"/>
      <c r="AB218" s="5"/>
      <c r="AC218" s="4" t="str">
        <f>IF(O265&gt;0,#REF!-O265,"")</f>
        <v/>
      </c>
      <c r="AD218" s="5"/>
      <c r="AE218" s="5"/>
      <c r="AF218" s="5"/>
      <c r="AG218" s="5"/>
      <c r="AH218" s="5"/>
      <c r="AI218" s="5"/>
      <c r="AJ218" s="5"/>
      <c r="AK218" s="5"/>
      <c r="AL218" s="5"/>
      <c r="AM218" s="5"/>
    </row>
    <row r="219" spans="1:39" ht="15.75" customHeight="1">
      <c r="A219" s="3"/>
      <c r="B219" s="3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V219" s="5"/>
      <c r="W219" s="5"/>
      <c r="X219" s="5"/>
      <c r="Y219" s="5"/>
      <c r="Z219" s="5"/>
      <c r="AA219" s="5"/>
      <c r="AB219" s="5"/>
      <c r="AC219" s="4" t="str">
        <f>IF(O266&gt;0,#REF!-O266,"")</f>
        <v/>
      </c>
      <c r="AD219" s="5"/>
      <c r="AE219" s="5"/>
      <c r="AF219" s="5"/>
      <c r="AG219" s="5"/>
      <c r="AH219" s="5"/>
      <c r="AI219" s="5"/>
      <c r="AJ219" s="5"/>
      <c r="AK219" s="5"/>
      <c r="AL219" s="5"/>
      <c r="AM219" s="5"/>
    </row>
    <row r="220" spans="1:39" ht="15.75" customHeight="1">
      <c r="A220" s="3"/>
      <c r="B220" s="3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V220" s="5"/>
      <c r="W220" s="5"/>
      <c r="X220" s="5"/>
      <c r="Y220" s="5"/>
      <c r="Z220" s="5"/>
      <c r="AA220" s="5"/>
      <c r="AB220" s="5"/>
      <c r="AC220" s="4" t="str">
        <f>IF(O267&gt;0,#REF!-O267,"")</f>
        <v/>
      </c>
      <c r="AD220" s="5"/>
      <c r="AE220" s="5"/>
      <c r="AF220" s="5"/>
      <c r="AG220" s="5"/>
      <c r="AH220" s="5"/>
      <c r="AI220" s="5"/>
      <c r="AJ220" s="5"/>
      <c r="AK220" s="5"/>
      <c r="AL220" s="5"/>
      <c r="AM220" s="5"/>
    </row>
    <row r="221" spans="1:39" ht="15.75" customHeight="1">
      <c r="A221" s="3"/>
      <c r="B221" s="3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V221" s="5"/>
      <c r="W221" s="5"/>
      <c r="X221" s="5"/>
      <c r="Y221" s="5"/>
      <c r="Z221" s="5"/>
      <c r="AA221" s="5"/>
      <c r="AB221" s="5"/>
      <c r="AC221" s="4" t="str">
        <f>IF(O268&gt;0,#REF!-O268,"")</f>
        <v/>
      </c>
      <c r="AD221" s="5"/>
      <c r="AE221" s="5"/>
      <c r="AF221" s="5"/>
      <c r="AG221" s="5"/>
      <c r="AH221" s="5"/>
      <c r="AI221" s="5"/>
      <c r="AJ221" s="5"/>
      <c r="AK221" s="5"/>
      <c r="AL221" s="5"/>
      <c r="AM221" s="5"/>
    </row>
    <row r="222" spans="1:39" ht="15.75" customHeight="1">
      <c r="A222" s="3"/>
      <c r="B222" s="3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V222" s="5"/>
      <c r="W222" s="5"/>
      <c r="X222" s="5"/>
      <c r="Y222" s="5"/>
      <c r="Z222" s="5"/>
      <c r="AA222" s="5"/>
      <c r="AB222" s="5"/>
      <c r="AC222" s="4" t="str">
        <f>IF(O269&gt;0,#REF!-O269,"")</f>
        <v/>
      </c>
      <c r="AD222" s="5"/>
      <c r="AE222" s="5"/>
      <c r="AF222" s="5"/>
      <c r="AG222" s="5"/>
      <c r="AH222" s="5"/>
      <c r="AI222" s="5"/>
      <c r="AJ222" s="5"/>
      <c r="AK222" s="5"/>
      <c r="AL222" s="5"/>
      <c r="AM222" s="5"/>
    </row>
    <row r="223" spans="1:39" ht="15.75" customHeight="1">
      <c r="A223" s="3"/>
      <c r="B223" s="3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V223" s="5"/>
      <c r="W223" s="5"/>
      <c r="X223" s="5"/>
      <c r="Y223" s="5"/>
      <c r="Z223" s="5"/>
      <c r="AA223" s="5"/>
      <c r="AB223" s="5"/>
      <c r="AC223" s="4" t="str">
        <f>IF(O270&gt;0,#REF!-O270,"")</f>
        <v/>
      </c>
      <c r="AD223" s="5"/>
      <c r="AE223" s="5"/>
      <c r="AF223" s="5"/>
      <c r="AG223" s="5"/>
      <c r="AH223" s="5"/>
      <c r="AI223" s="5"/>
      <c r="AJ223" s="5"/>
      <c r="AK223" s="5"/>
      <c r="AL223" s="5"/>
      <c r="AM223" s="5"/>
    </row>
    <row r="224" spans="1:39" ht="15.75" customHeight="1">
      <c r="A224" s="3"/>
      <c r="B224" s="3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V224" s="5"/>
      <c r="W224" s="5"/>
      <c r="X224" s="5"/>
      <c r="Y224" s="5"/>
      <c r="Z224" s="5"/>
      <c r="AA224" s="5"/>
      <c r="AB224" s="5"/>
      <c r="AC224" s="4" t="str">
        <f>IF(O271&gt;0,#REF!-O271,"")</f>
        <v/>
      </c>
      <c r="AD224" s="5"/>
      <c r="AE224" s="5"/>
      <c r="AF224" s="5"/>
      <c r="AG224" s="5"/>
      <c r="AH224" s="5"/>
      <c r="AI224" s="5"/>
      <c r="AJ224" s="5"/>
      <c r="AK224" s="5"/>
      <c r="AL224" s="5"/>
      <c r="AM224" s="5"/>
    </row>
    <row r="225" spans="1:39" ht="15.75" customHeight="1">
      <c r="A225" s="3"/>
      <c r="B225" s="3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V225" s="5"/>
      <c r="W225" s="5"/>
      <c r="X225" s="5"/>
      <c r="Y225" s="5"/>
      <c r="Z225" s="5"/>
      <c r="AA225" s="5"/>
      <c r="AB225" s="5"/>
      <c r="AC225" s="4" t="str">
        <f>IF(O272&gt;0,#REF!-O272,"")</f>
        <v/>
      </c>
      <c r="AD225" s="5"/>
      <c r="AE225" s="5"/>
      <c r="AF225" s="5"/>
      <c r="AG225" s="5"/>
      <c r="AH225" s="5"/>
      <c r="AI225" s="5"/>
      <c r="AJ225" s="5"/>
      <c r="AK225" s="5"/>
      <c r="AL225" s="5"/>
      <c r="AM225" s="5"/>
    </row>
    <row r="226" spans="1:39" ht="15.75" customHeight="1">
      <c r="A226" s="3"/>
      <c r="B226" s="3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V226" s="5"/>
      <c r="W226" s="5"/>
      <c r="X226" s="5"/>
      <c r="Y226" s="5"/>
      <c r="Z226" s="5"/>
      <c r="AA226" s="5"/>
      <c r="AB226" s="5"/>
      <c r="AC226" s="4" t="str">
        <f>IF(O273&gt;0,#REF!-O273,"")</f>
        <v/>
      </c>
      <c r="AD226" s="5"/>
      <c r="AE226" s="5"/>
      <c r="AF226" s="5"/>
      <c r="AG226" s="5"/>
      <c r="AH226" s="5"/>
      <c r="AI226" s="5"/>
      <c r="AJ226" s="5"/>
      <c r="AK226" s="5"/>
      <c r="AL226" s="5"/>
      <c r="AM226" s="5"/>
    </row>
    <row r="227" spans="1:39" ht="15.75" customHeight="1">
      <c r="A227" s="3"/>
      <c r="B227" s="3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V227" s="5"/>
      <c r="W227" s="5"/>
      <c r="X227" s="5"/>
      <c r="Y227" s="5"/>
      <c r="Z227" s="5"/>
      <c r="AA227" s="5"/>
      <c r="AB227" s="5"/>
      <c r="AC227" s="4" t="str">
        <f>IF(O274&gt;0,#REF!-O274,"")</f>
        <v/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</row>
    <row r="228" spans="1:39" ht="15.75" customHeight="1">
      <c r="A228" s="3"/>
      <c r="B228" s="3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V228" s="5"/>
      <c r="W228" s="5"/>
      <c r="X228" s="5"/>
      <c r="Y228" s="5"/>
      <c r="Z228" s="5"/>
      <c r="AA228" s="5"/>
      <c r="AB228" s="5"/>
      <c r="AC228" s="4" t="str">
        <f>IF(O275&gt;0,#REF!-O275,"")</f>
        <v/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</row>
    <row r="229" spans="1:39" ht="15.75" customHeight="1">
      <c r="A229" s="3"/>
      <c r="B229" s="3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V229" s="5"/>
      <c r="W229" s="5"/>
      <c r="X229" s="5"/>
      <c r="Y229" s="5"/>
      <c r="Z229" s="5"/>
      <c r="AA229" s="5"/>
      <c r="AB229" s="5"/>
      <c r="AC229" s="4" t="str">
        <f>IF(O276&gt;0,#REF!-O276,"")</f>
        <v/>
      </c>
      <c r="AD229" s="5"/>
      <c r="AE229" s="5"/>
      <c r="AF229" s="5"/>
      <c r="AG229" s="5"/>
      <c r="AH229" s="5"/>
      <c r="AI229" s="5"/>
      <c r="AJ229" s="5"/>
      <c r="AK229" s="5"/>
      <c r="AL229" s="5"/>
      <c r="AM229" s="5"/>
    </row>
    <row r="230" spans="1:39" ht="15.75" customHeight="1">
      <c r="A230" s="3"/>
      <c r="B230" s="3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V230" s="5"/>
      <c r="W230" s="5"/>
      <c r="X230" s="5"/>
      <c r="Y230" s="5"/>
      <c r="Z230" s="5"/>
      <c r="AA230" s="5"/>
      <c r="AB230" s="5"/>
      <c r="AC230" s="4" t="str">
        <f>IF(O277&gt;0,#REF!-O277,"")</f>
        <v/>
      </c>
      <c r="AD230" s="5"/>
      <c r="AE230" s="5"/>
      <c r="AF230" s="5"/>
      <c r="AG230" s="5"/>
      <c r="AH230" s="5"/>
      <c r="AI230" s="5"/>
      <c r="AJ230" s="5"/>
      <c r="AK230" s="5"/>
      <c r="AL230" s="5"/>
      <c r="AM230" s="5"/>
    </row>
    <row r="231" spans="1:39" ht="15.75" customHeight="1">
      <c r="A231" s="3"/>
      <c r="B231" s="3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V231" s="5"/>
      <c r="W231" s="5"/>
      <c r="X231" s="5"/>
      <c r="Y231" s="5"/>
      <c r="Z231" s="5"/>
      <c r="AA231" s="5"/>
      <c r="AB231" s="5"/>
      <c r="AC231" s="4" t="str">
        <f>IF(O278&gt;0,#REF!-O278,"")</f>
        <v/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</row>
    <row r="232" spans="1:39" ht="15.75" customHeight="1">
      <c r="A232" s="3"/>
      <c r="B232" s="3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V232" s="5"/>
      <c r="W232" s="5"/>
      <c r="X232" s="5"/>
      <c r="Y232" s="5"/>
      <c r="Z232" s="5"/>
      <c r="AA232" s="5"/>
      <c r="AB232" s="5"/>
      <c r="AC232" s="4" t="str">
        <f>IF(O279&gt;0,#REF!-O279,"")</f>
        <v/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</row>
    <row r="233" spans="1:39" ht="15.75" customHeight="1">
      <c r="A233" s="3"/>
      <c r="B233" s="3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V233" s="5"/>
      <c r="W233" s="5"/>
      <c r="X233" s="5"/>
      <c r="Y233" s="5"/>
      <c r="Z233" s="5"/>
      <c r="AA233" s="5"/>
      <c r="AB233" s="5"/>
      <c r="AC233" s="4" t="str">
        <f>IF(O280&gt;0,#REF!-O280,"")</f>
        <v/>
      </c>
      <c r="AD233" s="5"/>
      <c r="AE233" s="5"/>
      <c r="AF233" s="5"/>
      <c r="AG233" s="5"/>
      <c r="AH233" s="5"/>
      <c r="AI233" s="5"/>
      <c r="AJ233" s="5"/>
      <c r="AK233" s="5"/>
      <c r="AL233" s="5"/>
      <c r="AM233" s="5"/>
    </row>
    <row r="234" spans="1:39" ht="15.75" customHeight="1">
      <c r="A234" s="3"/>
      <c r="B234" s="3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V234" s="5"/>
      <c r="W234" s="5"/>
      <c r="X234" s="5"/>
      <c r="Y234" s="5"/>
      <c r="Z234" s="5"/>
      <c r="AA234" s="5"/>
      <c r="AB234" s="5"/>
      <c r="AC234" s="4" t="str">
        <f>IF(O281&gt;0,#REF!-O281,"")</f>
        <v/>
      </c>
      <c r="AD234" s="5"/>
      <c r="AE234" s="5"/>
      <c r="AF234" s="5"/>
      <c r="AG234" s="5"/>
      <c r="AH234" s="5"/>
      <c r="AI234" s="5"/>
      <c r="AJ234" s="5"/>
      <c r="AK234" s="5"/>
      <c r="AL234" s="5"/>
      <c r="AM234" s="5"/>
    </row>
    <row r="235" spans="1:39" ht="15.75" customHeight="1">
      <c r="A235" s="3"/>
      <c r="B235" s="3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V235" s="5"/>
      <c r="W235" s="5"/>
      <c r="X235" s="5"/>
      <c r="Y235" s="5"/>
      <c r="Z235" s="5"/>
      <c r="AA235" s="5"/>
      <c r="AB235" s="5"/>
      <c r="AC235" s="4" t="str">
        <f>IF(O282&gt;0,#REF!-O282,"")</f>
        <v/>
      </c>
      <c r="AD235" s="5"/>
      <c r="AE235" s="5"/>
      <c r="AF235" s="5"/>
      <c r="AG235" s="5"/>
      <c r="AH235" s="5"/>
      <c r="AI235" s="5"/>
      <c r="AJ235" s="5"/>
      <c r="AK235" s="5"/>
      <c r="AL235" s="5"/>
      <c r="AM235" s="5"/>
    </row>
    <row r="236" spans="1:39" ht="15.75" customHeight="1">
      <c r="A236" s="3"/>
      <c r="B236" s="3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V236" s="5"/>
      <c r="W236" s="5"/>
      <c r="X236" s="5"/>
      <c r="Y236" s="5"/>
      <c r="Z236" s="5"/>
      <c r="AA236" s="5"/>
      <c r="AB236" s="5"/>
      <c r="AC236" s="4" t="str">
        <f>IF(O283&gt;0,#REF!-O283,"")</f>
        <v/>
      </c>
      <c r="AD236" s="5"/>
      <c r="AE236" s="5"/>
      <c r="AF236" s="5"/>
      <c r="AG236" s="5"/>
      <c r="AH236" s="5"/>
      <c r="AI236" s="5"/>
      <c r="AJ236" s="5"/>
      <c r="AK236" s="5"/>
      <c r="AL236" s="5"/>
      <c r="AM236" s="5"/>
    </row>
    <row r="237" spans="1:39" ht="15.75" customHeight="1">
      <c r="A237" s="3"/>
      <c r="B237" s="3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V237" s="5"/>
      <c r="W237" s="5"/>
      <c r="X237" s="5"/>
      <c r="Y237" s="5"/>
      <c r="Z237" s="5"/>
      <c r="AA237" s="5"/>
      <c r="AB237" s="5"/>
      <c r="AC237" s="4" t="str">
        <f>IF(O284&gt;0,#REF!-O284,"")</f>
        <v/>
      </c>
      <c r="AD237" s="5"/>
      <c r="AE237" s="5"/>
      <c r="AF237" s="5"/>
      <c r="AG237" s="5"/>
      <c r="AH237" s="5"/>
      <c r="AI237" s="5"/>
      <c r="AJ237" s="5"/>
      <c r="AK237" s="5"/>
      <c r="AL237" s="5"/>
      <c r="AM237" s="5"/>
    </row>
    <row r="238" spans="1:39" ht="15.75" customHeight="1">
      <c r="A238" s="3"/>
      <c r="B238" s="3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V238" s="5"/>
      <c r="W238" s="5"/>
      <c r="X238" s="5"/>
      <c r="Y238" s="5"/>
      <c r="Z238" s="5"/>
      <c r="AA238" s="5"/>
      <c r="AB238" s="5"/>
      <c r="AC238" s="4" t="str">
        <f>IF(O285&gt;0,#REF!-O285,"")</f>
        <v/>
      </c>
      <c r="AD238" s="5"/>
      <c r="AE238" s="5"/>
      <c r="AF238" s="5"/>
      <c r="AG238" s="5"/>
      <c r="AH238" s="5"/>
      <c r="AI238" s="5"/>
      <c r="AJ238" s="5"/>
      <c r="AK238" s="5"/>
      <c r="AL238" s="5"/>
      <c r="AM238" s="5"/>
    </row>
    <row r="239" spans="1:39" ht="15.75" customHeight="1">
      <c r="A239" s="3"/>
      <c r="B239" s="3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V239" s="5"/>
      <c r="W239" s="5"/>
      <c r="X239" s="5"/>
      <c r="Y239" s="5"/>
      <c r="Z239" s="5"/>
      <c r="AA239" s="5"/>
      <c r="AB239" s="5"/>
      <c r="AC239" s="4" t="str">
        <f>IF(O286&gt;0,#REF!-O286,"")</f>
        <v/>
      </c>
      <c r="AD239" s="5"/>
      <c r="AE239" s="5"/>
      <c r="AF239" s="5"/>
      <c r="AG239" s="5"/>
      <c r="AH239" s="5"/>
      <c r="AI239" s="5"/>
      <c r="AJ239" s="5"/>
      <c r="AK239" s="5"/>
      <c r="AL239" s="5"/>
      <c r="AM239" s="5"/>
    </row>
    <row r="240" spans="1:39" ht="15.75" customHeight="1">
      <c r="A240" s="3"/>
      <c r="B240" s="3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V240" s="5"/>
      <c r="W240" s="5"/>
      <c r="X240" s="5"/>
      <c r="Y240" s="5"/>
      <c r="Z240" s="5"/>
      <c r="AA240" s="5"/>
      <c r="AB240" s="5"/>
      <c r="AC240" s="4" t="str">
        <f>IF(O287&gt;0,#REF!-O287,"")</f>
        <v/>
      </c>
      <c r="AD240" s="5"/>
      <c r="AE240" s="5"/>
      <c r="AF240" s="5"/>
      <c r="AG240" s="5"/>
      <c r="AH240" s="5"/>
      <c r="AI240" s="5"/>
      <c r="AJ240" s="5"/>
      <c r="AK240" s="5"/>
      <c r="AL240" s="5"/>
      <c r="AM240" s="5"/>
    </row>
    <row r="241" spans="1:39" ht="15.75" customHeight="1">
      <c r="A241" s="3"/>
      <c r="B241" s="3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V241" s="5"/>
      <c r="W241" s="5"/>
      <c r="X241" s="5"/>
      <c r="Y241" s="5"/>
      <c r="Z241" s="5"/>
      <c r="AA241" s="5"/>
      <c r="AB241" s="5"/>
      <c r="AC241" s="4" t="str">
        <f>IF(O288&gt;0,#REF!-O288,"")</f>
        <v/>
      </c>
      <c r="AD241" s="5"/>
      <c r="AE241" s="5"/>
      <c r="AF241" s="5"/>
      <c r="AG241" s="5"/>
      <c r="AH241" s="5"/>
      <c r="AI241" s="5"/>
      <c r="AJ241" s="5"/>
      <c r="AK241" s="5"/>
      <c r="AL241" s="5"/>
      <c r="AM241" s="5"/>
    </row>
    <row r="242" spans="1:39" ht="15.75" customHeight="1">
      <c r="A242" s="3"/>
      <c r="B242" s="3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V242" s="5"/>
      <c r="W242" s="5"/>
      <c r="X242" s="5"/>
      <c r="Y242" s="5"/>
      <c r="Z242" s="5"/>
      <c r="AA242" s="5"/>
      <c r="AB242" s="5"/>
      <c r="AC242" s="4" t="str">
        <f>IF(O289&gt;0,#REF!-O289,"")</f>
        <v/>
      </c>
      <c r="AD242" s="5"/>
      <c r="AE242" s="5"/>
      <c r="AF242" s="5"/>
      <c r="AG242" s="5"/>
      <c r="AH242" s="5"/>
      <c r="AI242" s="5"/>
      <c r="AJ242" s="5"/>
      <c r="AK242" s="5"/>
      <c r="AL242" s="5"/>
      <c r="AM242" s="5"/>
    </row>
    <row r="243" spans="1:39" ht="15.75" customHeight="1">
      <c r="A243" s="3"/>
      <c r="B243" s="3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V243" s="5"/>
      <c r="W243" s="5"/>
      <c r="X243" s="5"/>
      <c r="Y243" s="5"/>
      <c r="Z243" s="5"/>
      <c r="AA243" s="5"/>
      <c r="AB243" s="5"/>
      <c r="AC243" s="4" t="str">
        <f>IF(O290&gt;0,#REF!-O290,"")</f>
        <v/>
      </c>
      <c r="AD243" s="5"/>
      <c r="AE243" s="5"/>
      <c r="AF243" s="5"/>
      <c r="AG243" s="5"/>
      <c r="AH243" s="5"/>
      <c r="AI243" s="5"/>
      <c r="AJ243" s="5"/>
      <c r="AK243" s="5"/>
      <c r="AL243" s="5"/>
      <c r="AM243" s="5"/>
    </row>
    <row r="244" spans="1:39" ht="15.75" customHeight="1">
      <c r="A244" s="3"/>
      <c r="B244" s="3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V244" s="5"/>
      <c r="W244" s="5"/>
      <c r="X244" s="5"/>
      <c r="Y244" s="5"/>
      <c r="Z244" s="5"/>
      <c r="AA244" s="5"/>
      <c r="AB244" s="5"/>
      <c r="AC244" s="4" t="str">
        <f>IF(O291&gt;0,#REF!-O291,"")</f>
        <v/>
      </c>
      <c r="AD244" s="5"/>
      <c r="AE244" s="5"/>
      <c r="AF244" s="5"/>
      <c r="AG244" s="5"/>
      <c r="AH244" s="5"/>
      <c r="AI244" s="5"/>
      <c r="AJ244" s="5"/>
      <c r="AK244" s="5"/>
      <c r="AL244" s="5"/>
      <c r="AM244" s="5"/>
    </row>
    <row r="245" spans="1:39" ht="15.75" customHeight="1">
      <c r="A245" s="3"/>
      <c r="B245" s="3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V245" s="5"/>
      <c r="W245" s="5"/>
      <c r="X245" s="5"/>
      <c r="Y245" s="5"/>
      <c r="Z245" s="5"/>
      <c r="AA245" s="5"/>
      <c r="AB245" s="5"/>
      <c r="AC245" s="4" t="str">
        <f>IF(O292&gt;0,#REF!-O292,"")</f>
        <v/>
      </c>
      <c r="AD245" s="5"/>
      <c r="AE245" s="5"/>
      <c r="AF245" s="5"/>
      <c r="AG245" s="5"/>
      <c r="AH245" s="5"/>
      <c r="AI245" s="5"/>
      <c r="AJ245" s="5"/>
      <c r="AK245" s="5"/>
      <c r="AL245" s="5"/>
      <c r="AM245" s="5"/>
    </row>
    <row r="246" spans="1:39" ht="15.75" customHeight="1">
      <c r="A246" s="3"/>
      <c r="B246" s="3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V246" s="5"/>
      <c r="W246" s="5"/>
      <c r="X246" s="5"/>
      <c r="Y246" s="5"/>
      <c r="Z246" s="5"/>
      <c r="AA246" s="5"/>
      <c r="AB246" s="5"/>
      <c r="AC246" s="4" t="str">
        <f>IF(O293&gt;0,#REF!-O293,"")</f>
        <v/>
      </c>
      <c r="AD246" s="5"/>
      <c r="AE246" s="5"/>
      <c r="AF246" s="5"/>
      <c r="AG246" s="5"/>
      <c r="AH246" s="5"/>
      <c r="AI246" s="5"/>
      <c r="AJ246" s="5"/>
      <c r="AK246" s="5"/>
      <c r="AL246" s="5"/>
      <c r="AM246" s="5"/>
    </row>
    <row r="247" spans="1:39" ht="15.75" customHeight="1">
      <c r="A247" s="3"/>
      <c r="B247" s="3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V247" s="5"/>
      <c r="W247" s="5"/>
      <c r="X247" s="5"/>
      <c r="Y247" s="5"/>
      <c r="Z247" s="5"/>
      <c r="AA247" s="5"/>
      <c r="AB247" s="5"/>
      <c r="AC247" s="4" t="str">
        <f>IF(O294&gt;0,#REF!-O294,"")</f>
        <v/>
      </c>
      <c r="AD247" s="5"/>
      <c r="AE247" s="5"/>
      <c r="AF247" s="5"/>
      <c r="AG247" s="5"/>
      <c r="AH247" s="5"/>
      <c r="AI247" s="5"/>
      <c r="AJ247" s="5"/>
      <c r="AK247" s="5"/>
      <c r="AL247" s="5"/>
      <c r="AM247" s="5"/>
    </row>
    <row r="248" spans="1:39" ht="15.75" customHeight="1">
      <c r="A248" s="3"/>
      <c r="B248" s="3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V248" s="5"/>
      <c r="W248" s="5"/>
      <c r="X248" s="5"/>
      <c r="Y248" s="5"/>
      <c r="Z248" s="5"/>
      <c r="AA248" s="5"/>
      <c r="AB248" s="5"/>
      <c r="AC248" s="4" t="str">
        <f>IF(O295&gt;0,#REF!-O295,"")</f>
        <v/>
      </c>
      <c r="AD248" s="5"/>
      <c r="AE248" s="5"/>
      <c r="AF248" s="5"/>
      <c r="AG248" s="5"/>
      <c r="AH248" s="5"/>
      <c r="AI248" s="5"/>
      <c r="AJ248" s="5"/>
      <c r="AK248" s="5"/>
      <c r="AL248" s="5"/>
      <c r="AM248" s="5"/>
    </row>
    <row r="249" spans="1:39" ht="15.75" customHeight="1">
      <c r="A249" s="3"/>
      <c r="B249" s="3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V249" s="5"/>
      <c r="W249" s="5"/>
      <c r="X249" s="5"/>
      <c r="Y249" s="5"/>
      <c r="Z249" s="5"/>
      <c r="AA249" s="5"/>
      <c r="AB249" s="5"/>
      <c r="AC249" s="4" t="str">
        <f>IF(O296&gt;0,#REF!-O296,"")</f>
        <v/>
      </c>
      <c r="AD249" s="5"/>
      <c r="AE249" s="5"/>
      <c r="AF249" s="5"/>
      <c r="AG249" s="5"/>
      <c r="AH249" s="5"/>
      <c r="AI249" s="5"/>
      <c r="AJ249" s="5"/>
      <c r="AK249" s="5"/>
      <c r="AL249" s="5"/>
      <c r="AM249" s="5"/>
    </row>
    <row r="250" spans="1:39" ht="15.75" customHeight="1">
      <c r="A250" s="3"/>
      <c r="B250" s="3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V250" s="5"/>
      <c r="W250" s="5"/>
      <c r="X250" s="5"/>
      <c r="Y250" s="5"/>
      <c r="Z250" s="5"/>
      <c r="AA250" s="5"/>
      <c r="AB250" s="5"/>
      <c r="AC250" s="4" t="str">
        <f>IF(O297&gt;0,#REF!-O297,"")</f>
        <v/>
      </c>
      <c r="AD250" s="5"/>
      <c r="AE250" s="5"/>
      <c r="AF250" s="5"/>
      <c r="AG250" s="5"/>
      <c r="AH250" s="5"/>
      <c r="AI250" s="5"/>
      <c r="AJ250" s="5"/>
      <c r="AK250" s="5"/>
      <c r="AL250" s="5"/>
      <c r="AM250" s="5"/>
    </row>
    <row r="251" spans="1:39" ht="15.75" customHeight="1">
      <c r="A251" s="3"/>
      <c r="B251" s="3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V251" s="5"/>
      <c r="W251" s="5"/>
      <c r="X251" s="5"/>
      <c r="Y251" s="5"/>
      <c r="Z251" s="5"/>
      <c r="AA251" s="5"/>
      <c r="AB251" s="5"/>
      <c r="AC251" s="4" t="str">
        <f>IF(O298&gt;0,#REF!-O298,"")</f>
        <v/>
      </c>
      <c r="AD251" s="5"/>
      <c r="AE251" s="5"/>
      <c r="AF251" s="5"/>
      <c r="AG251" s="5"/>
      <c r="AH251" s="5"/>
      <c r="AI251" s="5"/>
      <c r="AJ251" s="5"/>
      <c r="AK251" s="5"/>
      <c r="AL251" s="5"/>
      <c r="AM251" s="5"/>
    </row>
    <row r="252" spans="1:39" ht="15.75" customHeight="1">
      <c r="A252" s="3"/>
      <c r="B252" s="3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V252" s="5"/>
      <c r="W252" s="5"/>
      <c r="X252" s="5"/>
      <c r="Y252" s="5"/>
      <c r="Z252" s="5"/>
      <c r="AA252" s="5"/>
      <c r="AB252" s="5"/>
      <c r="AC252" s="4" t="str">
        <f>IF(O299&gt;0,#REF!-O299,"")</f>
        <v/>
      </c>
      <c r="AD252" s="5"/>
      <c r="AE252" s="5"/>
      <c r="AF252" s="5"/>
      <c r="AG252" s="5"/>
      <c r="AH252" s="5"/>
      <c r="AI252" s="5"/>
      <c r="AJ252" s="5"/>
      <c r="AK252" s="5"/>
      <c r="AL252" s="5"/>
      <c r="AM252" s="5"/>
    </row>
    <row r="253" spans="1:39" ht="15.75" customHeight="1">
      <c r="A253" s="3"/>
      <c r="B253" s="3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V253" s="5"/>
      <c r="W253" s="5"/>
      <c r="X253" s="5"/>
      <c r="Y253" s="5"/>
      <c r="Z253" s="5"/>
      <c r="AA253" s="5"/>
      <c r="AB253" s="5"/>
      <c r="AC253" s="4" t="str">
        <f>IF(O300&gt;0,#REF!-O300,"")</f>
        <v/>
      </c>
      <c r="AD253" s="5"/>
      <c r="AE253" s="5"/>
      <c r="AF253" s="5"/>
      <c r="AG253" s="5"/>
      <c r="AH253" s="5"/>
      <c r="AI253" s="5"/>
      <c r="AJ253" s="5"/>
      <c r="AK253" s="5"/>
      <c r="AL253" s="5"/>
      <c r="AM253" s="5"/>
    </row>
    <row r="254" spans="1:39" ht="15.75" customHeight="1">
      <c r="A254" s="3"/>
      <c r="B254" s="3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V254" s="5"/>
      <c r="W254" s="5"/>
      <c r="X254" s="5"/>
      <c r="Y254" s="5"/>
      <c r="Z254" s="5"/>
      <c r="AA254" s="5"/>
      <c r="AB254" s="5"/>
      <c r="AC254" s="4" t="str">
        <f>IF(O301&gt;0,#REF!-O301,"")</f>
        <v/>
      </c>
      <c r="AD254" s="5"/>
      <c r="AE254" s="5"/>
      <c r="AF254" s="5"/>
      <c r="AG254" s="5"/>
      <c r="AH254" s="5"/>
      <c r="AI254" s="5"/>
      <c r="AJ254" s="5"/>
      <c r="AK254" s="5"/>
      <c r="AL254" s="5"/>
      <c r="AM254" s="5"/>
    </row>
    <row r="255" spans="1:39" ht="15.75" customHeight="1">
      <c r="A255" s="3"/>
      <c r="B255" s="3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V255" s="5"/>
      <c r="W255" s="5"/>
      <c r="X255" s="5"/>
      <c r="Y255" s="5"/>
      <c r="Z255" s="5"/>
      <c r="AA255" s="5"/>
      <c r="AB255" s="5"/>
      <c r="AC255" s="4" t="str">
        <f>IF(O302&gt;0,#REF!-O302,"")</f>
        <v/>
      </c>
      <c r="AD255" s="5"/>
      <c r="AE255" s="5"/>
      <c r="AF255" s="5"/>
      <c r="AG255" s="5"/>
      <c r="AH255" s="5"/>
      <c r="AI255" s="5"/>
      <c r="AJ255" s="5"/>
      <c r="AK255" s="5"/>
      <c r="AL255" s="5"/>
      <c r="AM255" s="5"/>
    </row>
    <row r="256" spans="1:39" ht="15.75" customHeight="1">
      <c r="A256" s="3"/>
      <c r="B256" s="3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V256" s="5"/>
      <c r="W256" s="5"/>
      <c r="X256" s="5"/>
      <c r="Y256" s="5"/>
      <c r="Z256" s="5"/>
      <c r="AA256" s="5"/>
      <c r="AB256" s="5"/>
      <c r="AC256" s="4" t="str">
        <f>IF(O303&gt;0,#REF!-O303,"")</f>
        <v/>
      </c>
      <c r="AD256" s="5"/>
      <c r="AE256" s="5"/>
      <c r="AF256" s="5"/>
      <c r="AG256" s="5"/>
      <c r="AH256" s="5"/>
      <c r="AI256" s="5"/>
      <c r="AJ256" s="5"/>
      <c r="AK256" s="5"/>
      <c r="AL256" s="5"/>
      <c r="AM256" s="5"/>
    </row>
    <row r="257" spans="1:39" ht="15.75" customHeight="1">
      <c r="A257" s="3"/>
      <c r="B257" s="3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V257" s="5"/>
      <c r="W257" s="5"/>
      <c r="X257" s="5"/>
      <c r="Y257" s="5"/>
      <c r="Z257" s="5"/>
      <c r="AA257" s="5"/>
      <c r="AB257" s="5"/>
      <c r="AC257" s="4" t="str">
        <f>IF(O304&gt;0,#REF!-O304,"")</f>
        <v/>
      </c>
      <c r="AD257" s="5"/>
      <c r="AE257" s="5"/>
      <c r="AF257" s="5"/>
      <c r="AG257" s="5"/>
      <c r="AH257" s="5"/>
      <c r="AI257" s="5"/>
      <c r="AJ257" s="5"/>
      <c r="AK257" s="5"/>
      <c r="AL257" s="5"/>
      <c r="AM257" s="5"/>
    </row>
    <row r="258" spans="1:39" ht="15.75" customHeight="1">
      <c r="A258" s="3"/>
      <c r="B258" s="3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V258" s="5"/>
      <c r="W258" s="5"/>
      <c r="X258" s="5"/>
      <c r="Y258" s="5"/>
      <c r="Z258" s="5"/>
      <c r="AA258" s="5"/>
      <c r="AB258" s="5"/>
      <c r="AC258" s="4" t="str">
        <f>IF(O305&gt;0,#REF!-O305,"")</f>
        <v/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</row>
    <row r="259" spans="1:39" ht="15.75" customHeight="1">
      <c r="A259" s="3"/>
      <c r="B259" s="3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V259" s="5"/>
      <c r="W259" s="5"/>
      <c r="X259" s="5"/>
      <c r="Y259" s="5"/>
      <c r="Z259" s="5"/>
      <c r="AA259" s="5"/>
      <c r="AB259" s="5"/>
      <c r="AC259" s="4" t="str">
        <f>IF(O306&gt;0,#REF!-O306,"")</f>
        <v/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</row>
    <row r="260" spans="1:39" ht="15.75" customHeight="1">
      <c r="A260" s="3"/>
      <c r="B260" s="3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V260" s="5"/>
      <c r="W260" s="5"/>
      <c r="X260" s="5"/>
      <c r="Y260" s="5"/>
      <c r="Z260" s="5"/>
      <c r="AA260" s="5"/>
      <c r="AB260" s="5"/>
      <c r="AC260" s="4" t="str">
        <f>IF(O307&gt;0,#REF!-O307,"")</f>
        <v/>
      </c>
      <c r="AD260" s="5"/>
      <c r="AE260" s="5"/>
      <c r="AF260" s="5"/>
      <c r="AG260" s="5"/>
      <c r="AH260" s="5"/>
      <c r="AI260" s="5"/>
      <c r="AJ260" s="5"/>
      <c r="AK260" s="5"/>
      <c r="AL260" s="5"/>
      <c r="AM260" s="5"/>
    </row>
    <row r="261" spans="1:39" ht="15.75" customHeight="1">
      <c r="A261" s="3"/>
      <c r="B261" s="3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V261" s="5"/>
      <c r="W261" s="5"/>
      <c r="X261" s="5"/>
      <c r="Y261" s="5"/>
      <c r="Z261" s="5"/>
      <c r="AA261" s="5"/>
      <c r="AB261" s="5"/>
      <c r="AC261" s="4" t="str">
        <f>IF(O308&gt;0,#REF!-O308,"")</f>
        <v/>
      </c>
      <c r="AD261" s="5"/>
      <c r="AE261" s="5"/>
      <c r="AF261" s="5"/>
      <c r="AG261" s="5"/>
      <c r="AH261" s="5"/>
      <c r="AI261" s="5"/>
      <c r="AJ261" s="5"/>
      <c r="AK261" s="5"/>
      <c r="AL261" s="5"/>
      <c r="AM261" s="5"/>
    </row>
    <row r="262" spans="1:39" ht="15.75" customHeight="1">
      <c r="A262" s="3"/>
      <c r="B262" s="3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V262" s="5"/>
      <c r="W262" s="5"/>
      <c r="X262" s="5"/>
      <c r="Y262" s="5"/>
      <c r="Z262" s="5"/>
      <c r="AA262" s="5"/>
      <c r="AB262" s="5"/>
      <c r="AC262" s="4" t="str">
        <f>IF(O309&gt;0,#REF!-O309,"")</f>
        <v/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</row>
    <row r="263" spans="1:39" ht="15.75" customHeight="1">
      <c r="A263" s="3"/>
      <c r="B263" s="3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V263" s="5"/>
      <c r="W263" s="5"/>
      <c r="X263" s="5"/>
      <c r="Y263" s="5"/>
      <c r="Z263" s="5"/>
      <c r="AA263" s="5"/>
      <c r="AB263" s="5"/>
      <c r="AC263" s="4" t="str">
        <f>IF(O310&gt;0,#REF!-O310,"")</f>
        <v/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</row>
    <row r="264" spans="1:39" ht="15.75" customHeight="1">
      <c r="A264" s="3"/>
      <c r="B264" s="3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V264" s="5"/>
      <c r="W264" s="5"/>
      <c r="X264" s="5"/>
      <c r="Y264" s="5"/>
      <c r="Z264" s="5"/>
      <c r="AA264" s="5"/>
      <c r="AB264" s="5"/>
      <c r="AC264" s="4" t="str">
        <f>IF(O311&gt;0,#REF!-O311,"")</f>
        <v/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</row>
    <row r="265" spans="1:39" ht="15.75" customHeight="1">
      <c r="A265" s="3"/>
      <c r="B265" s="3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V265" s="5"/>
      <c r="W265" s="5"/>
      <c r="X265" s="5"/>
      <c r="Y265" s="5"/>
      <c r="Z265" s="5"/>
      <c r="AA265" s="5"/>
      <c r="AB265" s="5"/>
      <c r="AC265" s="4" t="str">
        <f>IF(O312&gt;0,#REF!-O312,"")</f>
        <v/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</row>
    <row r="266" spans="1:39" ht="15.75" customHeight="1">
      <c r="A266" s="3"/>
      <c r="B266" s="3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V266" s="5"/>
      <c r="W266" s="5"/>
      <c r="X266" s="5"/>
      <c r="Y266" s="5"/>
      <c r="Z266" s="5"/>
      <c r="AA266" s="5"/>
      <c r="AB266" s="5"/>
      <c r="AC266" s="4" t="str">
        <f>IF(O313&gt;0,#REF!-O313,"")</f>
        <v/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</row>
    <row r="267" spans="1:39" ht="15.75" customHeight="1">
      <c r="A267" s="3"/>
      <c r="B267" s="3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V267" s="5"/>
      <c r="W267" s="5"/>
      <c r="X267" s="5"/>
      <c r="Y267" s="5"/>
      <c r="Z267" s="5"/>
      <c r="AA267" s="5"/>
      <c r="AB267" s="5"/>
      <c r="AC267" s="4" t="str">
        <f>IF(O314&gt;0,#REF!-O314,"")</f>
        <v/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</row>
    <row r="268" spans="1:39" ht="15.75" customHeight="1">
      <c r="A268" s="3"/>
      <c r="B268" s="3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V268" s="5"/>
      <c r="W268" s="5"/>
      <c r="X268" s="5"/>
      <c r="Y268" s="5"/>
      <c r="Z268" s="5"/>
      <c r="AA268" s="5"/>
      <c r="AB268" s="5"/>
      <c r="AC268" s="4" t="str">
        <f>IF(O315&gt;0,#REF!-O315,"")</f>
        <v/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</row>
    <row r="269" spans="1:39" ht="15.75" customHeight="1">
      <c r="A269" s="3"/>
      <c r="B269" s="3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V269" s="5"/>
      <c r="W269" s="5"/>
      <c r="X269" s="5"/>
      <c r="Y269" s="5"/>
      <c r="Z269" s="5"/>
      <c r="AA269" s="5"/>
      <c r="AB269" s="5"/>
      <c r="AC269" s="4" t="str">
        <f>IF(O316&gt;0,#REF!-O316,"")</f>
        <v/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</row>
    <row r="270" spans="1:39" ht="15.75" customHeight="1">
      <c r="A270" s="3"/>
      <c r="B270" s="3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V270" s="5"/>
      <c r="W270" s="5"/>
      <c r="X270" s="5"/>
      <c r="Y270" s="5"/>
      <c r="Z270" s="5"/>
      <c r="AA270" s="5"/>
      <c r="AB270" s="5"/>
      <c r="AC270" s="4" t="str">
        <f>IF(O317&gt;0,#REF!-O317,"")</f>
        <v/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</row>
    <row r="271" spans="1:39" ht="15.75" customHeight="1">
      <c r="A271" s="3"/>
      <c r="B271" s="3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V271" s="5"/>
      <c r="W271" s="5"/>
      <c r="X271" s="5"/>
      <c r="Y271" s="5"/>
      <c r="Z271" s="5"/>
      <c r="AA271" s="5"/>
      <c r="AB271" s="5"/>
      <c r="AC271" s="4" t="str">
        <f>IF(O318&gt;0,#REF!-O318,"")</f>
        <v/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</row>
    <row r="272" spans="1:39" ht="15.75" customHeight="1">
      <c r="A272" s="3"/>
      <c r="B272" s="3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V272" s="5"/>
      <c r="W272" s="5"/>
      <c r="X272" s="5"/>
      <c r="Y272" s="5"/>
      <c r="Z272" s="5"/>
      <c r="AA272" s="5"/>
      <c r="AB272" s="5"/>
      <c r="AC272" s="4" t="str">
        <f>IF(O319&gt;0,#REF!-O319,"")</f>
        <v/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</row>
    <row r="273" spans="1:39" ht="15.75" customHeight="1">
      <c r="A273" s="3"/>
      <c r="B273" s="3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V273" s="5"/>
      <c r="W273" s="5"/>
      <c r="X273" s="5"/>
      <c r="Y273" s="5"/>
      <c r="Z273" s="5"/>
      <c r="AA273" s="5"/>
      <c r="AB273" s="5"/>
      <c r="AC273" s="4" t="str">
        <f>IF(O320&gt;0,#REF!-O320,"")</f>
        <v/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</row>
    <row r="274" spans="1:39" ht="15.75" customHeight="1">
      <c r="A274" s="3"/>
      <c r="B274" s="3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V274" s="5"/>
      <c r="W274" s="5"/>
      <c r="X274" s="5"/>
      <c r="Y274" s="5"/>
      <c r="Z274" s="5"/>
      <c r="AA274" s="5"/>
      <c r="AB274" s="5"/>
      <c r="AC274" s="4" t="str">
        <f>IF(O321&gt;0,#REF!-O321,"")</f>
        <v/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</row>
    <row r="275" spans="1:39" ht="15.75" customHeight="1">
      <c r="A275" s="3"/>
      <c r="B275" s="3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V275" s="5"/>
      <c r="W275" s="5"/>
      <c r="X275" s="5"/>
      <c r="Y275" s="5"/>
      <c r="Z275" s="5"/>
      <c r="AA275" s="5"/>
      <c r="AB275" s="5"/>
      <c r="AC275" s="4" t="str">
        <f>IF(O322&gt;0,#REF!-O322,"")</f>
        <v/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</row>
    <row r="276" spans="1:39" ht="15.75" customHeight="1">
      <c r="A276" s="3"/>
      <c r="B276" s="3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V276" s="5"/>
      <c r="W276" s="5"/>
      <c r="X276" s="5"/>
      <c r="Y276" s="5"/>
      <c r="Z276" s="5"/>
      <c r="AA276" s="5"/>
      <c r="AB276" s="5"/>
      <c r="AC276" s="4" t="str">
        <f>IF(O323&gt;0,#REF!-O323,"")</f>
        <v/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</row>
    <row r="277" spans="1:39" ht="15.75" customHeight="1">
      <c r="A277" s="3"/>
      <c r="B277" s="3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V277" s="5"/>
      <c r="W277" s="5"/>
      <c r="X277" s="5"/>
      <c r="Y277" s="5"/>
      <c r="Z277" s="5"/>
      <c r="AA277" s="5"/>
      <c r="AB277" s="5"/>
      <c r="AC277" s="4" t="str">
        <f>IF(O324&gt;0,#REF!-O324,"")</f>
        <v/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</row>
    <row r="278" spans="1:39" ht="15.75" customHeight="1">
      <c r="A278" s="3"/>
      <c r="B278" s="3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V278" s="5"/>
      <c r="W278" s="5"/>
      <c r="X278" s="5"/>
      <c r="Y278" s="5"/>
      <c r="Z278" s="5"/>
      <c r="AA278" s="5"/>
      <c r="AB278" s="5"/>
      <c r="AC278" s="4" t="str">
        <f>IF(O325&gt;0,#REF!-O325,"")</f>
        <v/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</row>
    <row r="279" spans="1:39" ht="15.75" customHeight="1">
      <c r="A279" s="3"/>
      <c r="B279" s="3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V279" s="5"/>
      <c r="W279" s="5"/>
      <c r="X279" s="5"/>
      <c r="Y279" s="5"/>
      <c r="Z279" s="5"/>
      <c r="AA279" s="5"/>
      <c r="AB279" s="5"/>
      <c r="AC279" s="4" t="str">
        <f>IF(O326&gt;0,#REF!-O326,"")</f>
        <v/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</row>
    <row r="280" spans="1:39" ht="15.75" customHeight="1">
      <c r="A280" s="3"/>
      <c r="B280" s="3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V280" s="5"/>
      <c r="W280" s="5"/>
      <c r="X280" s="5"/>
      <c r="Y280" s="5"/>
      <c r="Z280" s="5"/>
      <c r="AA280" s="5"/>
      <c r="AB280" s="5"/>
      <c r="AC280" s="4" t="str">
        <f>IF(O327&gt;0,#REF!-O327,"")</f>
        <v/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</row>
    <row r="281" spans="1:39" ht="15.75" customHeight="1">
      <c r="A281" s="3"/>
      <c r="B281" s="3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V281" s="5"/>
      <c r="W281" s="5"/>
      <c r="X281" s="5"/>
      <c r="Y281" s="5"/>
      <c r="Z281" s="5"/>
      <c r="AA281" s="5"/>
      <c r="AB281" s="5"/>
      <c r="AC281" s="4" t="str">
        <f>IF(O328&gt;0,#REF!-O328,"")</f>
        <v/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</row>
    <row r="282" spans="1:39" ht="15.75" customHeight="1">
      <c r="A282" s="3"/>
      <c r="B282" s="3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V282" s="5"/>
      <c r="W282" s="5"/>
      <c r="X282" s="5"/>
      <c r="Y282" s="5"/>
      <c r="Z282" s="5"/>
      <c r="AA282" s="5"/>
      <c r="AB282" s="5"/>
      <c r="AC282" s="4" t="str">
        <f>IF(O329&gt;0,#REF!-O329,"")</f>
        <v/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</row>
    <row r="283" spans="1:39" ht="15.75" customHeight="1">
      <c r="A283" s="3"/>
      <c r="B283" s="3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V283" s="5"/>
      <c r="W283" s="5"/>
      <c r="X283" s="5"/>
      <c r="Y283" s="5"/>
      <c r="Z283" s="5"/>
      <c r="AA283" s="5"/>
      <c r="AB283" s="5"/>
      <c r="AC283" s="4" t="str">
        <f>IF(O330&gt;0,#REF!-O330,"")</f>
        <v/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</row>
    <row r="284" spans="1:39" ht="15.75" customHeight="1">
      <c r="A284" s="3"/>
      <c r="B284" s="3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V284" s="5"/>
      <c r="W284" s="5"/>
      <c r="X284" s="5"/>
      <c r="Y284" s="5"/>
      <c r="Z284" s="5"/>
      <c r="AA284" s="5"/>
      <c r="AB284" s="5"/>
      <c r="AC284" s="4" t="str">
        <f>IF(O331&gt;0,#REF!-O331,"")</f>
        <v/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</row>
    <row r="285" spans="1:39" ht="15.75" customHeight="1">
      <c r="A285" s="3"/>
      <c r="B285" s="3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V285" s="5"/>
      <c r="W285" s="5"/>
      <c r="X285" s="5"/>
      <c r="Y285" s="5"/>
      <c r="Z285" s="5"/>
      <c r="AA285" s="5"/>
      <c r="AB285" s="5"/>
      <c r="AC285" s="4" t="str">
        <f>IF(O332&gt;0,#REF!-O332,"")</f>
        <v/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</row>
    <row r="286" spans="1:39" ht="15.75" customHeight="1">
      <c r="A286" s="3"/>
      <c r="B286" s="3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V286" s="5"/>
      <c r="W286" s="5"/>
      <c r="X286" s="5"/>
      <c r="Y286" s="5"/>
      <c r="Z286" s="5"/>
      <c r="AA286" s="5"/>
      <c r="AB286" s="5"/>
      <c r="AC286" s="4" t="str">
        <f>IF(O333&gt;0,#REF!-O333,"")</f>
        <v/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</row>
    <row r="287" spans="1:39" ht="15.75" customHeight="1">
      <c r="A287" s="3"/>
      <c r="B287" s="3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V287" s="5"/>
      <c r="W287" s="5"/>
      <c r="X287" s="5"/>
      <c r="Y287" s="5"/>
      <c r="Z287" s="5"/>
      <c r="AA287" s="5"/>
      <c r="AB287" s="5"/>
      <c r="AC287" s="4" t="str">
        <f>IF(O334&gt;0,#REF!-O334,"")</f>
        <v/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</row>
    <row r="288" spans="1:39" ht="15.75" customHeight="1">
      <c r="A288" s="3"/>
      <c r="B288" s="3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V288" s="5"/>
      <c r="W288" s="5"/>
      <c r="X288" s="5"/>
      <c r="Y288" s="5"/>
      <c r="Z288" s="5"/>
      <c r="AA288" s="5"/>
      <c r="AB288" s="5"/>
      <c r="AC288" s="4" t="str">
        <f>IF(O335&gt;0,#REF!-O335,"")</f>
        <v/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</row>
    <row r="289" spans="1:39" ht="15.75" customHeight="1">
      <c r="A289" s="3"/>
      <c r="B289" s="3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V289" s="5"/>
      <c r="W289" s="5"/>
      <c r="X289" s="5"/>
      <c r="Y289" s="5"/>
      <c r="Z289" s="5"/>
      <c r="AA289" s="5"/>
      <c r="AB289" s="5"/>
      <c r="AC289" s="4" t="str">
        <f>IF(O336&gt;0,#REF!-O336,"")</f>
        <v/>
      </c>
      <c r="AD289" s="5"/>
      <c r="AE289" s="5"/>
      <c r="AF289" s="5"/>
      <c r="AG289" s="5"/>
      <c r="AH289" s="5"/>
      <c r="AI289" s="5"/>
      <c r="AJ289" s="5"/>
      <c r="AK289" s="5"/>
      <c r="AL289" s="5"/>
      <c r="AM289" s="5"/>
    </row>
    <row r="290" spans="1:39" ht="15.75" customHeight="1">
      <c r="A290" s="3"/>
      <c r="B290" s="3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V290" s="5"/>
      <c r="W290" s="5"/>
      <c r="X290" s="5"/>
      <c r="Y290" s="5"/>
      <c r="Z290" s="5"/>
      <c r="AA290" s="5"/>
      <c r="AB290" s="5"/>
      <c r="AC290" s="4" t="str">
        <f>IF(O337&gt;0,#REF!-O337,"")</f>
        <v/>
      </c>
      <c r="AD290" s="5"/>
      <c r="AE290" s="5"/>
      <c r="AF290" s="5"/>
      <c r="AG290" s="5"/>
      <c r="AH290" s="5"/>
      <c r="AI290" s="5"/>
      <c r="AJ290" s="5"/>
      <c r="AK290" s="5"/>
      <c r="AL290" s="5"/>
      <c r="AM290" s="5"/>
    </row>
    <row r="291" spans="1:39" ht="15.75" customHeight="1">
      <c r="A291" s="3"/>
      <c r="B291" s="3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V291" s="5"/>
      <c r="W291" s="5"/>
      <c r="X291" s="5"/>
      <c r="Y291" s="5"/>
      <c r="Z291" s="5"/>
      <c r="AA291" s="5"/>
      <c r="AB291" s="5"/>
      <c r="AC291" s="4" t="str">
        <f>IF(O338&gt;0,#REF!-O338,"")</f>
        <v/>
      </c>
      <c r="AD291" s="5"/>
      <c r="AE291" s="5"/>
      <c r="AF291" s="5"/>
      <c r="AG291" s="5"/>
      <c r="AH291" s="5"/>
      <c r="AI291" s="5"/>
      <c r="AJ291" s="5"/>
      <c r="AK291" s="5"/>
      <c r="AL291" s="5"/>
      <c r="AM291" s="5"/>
    </row>
    <row r="292" spans="1:39" ht="15.75" customHeight="1">
      <c r="A292" s="3"/>
      <c r="B292" s="3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V292" s="5"/>
      <c r="W292" s="5"/>
      <c r="X292" s="5"/>
      <c r="Y292" s="5"/>
      <c r="Z292" s="5"/>
      <c r="AA292" s="5"/>
      <c r="AB292" s="5"/>
      <c r="AC292" s="4" t="str">
        <f>IF(O339&gt;0,#REF!-O339,"")</f>
        <v/>
      </c>
      <c r="AD292" s="5"/>
      <c r="AE292" s="5"/>
      <c r="AF292" s="5"/>
      <c r="AG292" s="5"/>
      <c r="AH292" s="5"/>
      <c r="AI292" s="5"/>
      <c r="AJ292" s="5"/>
      <c r="AK292" s="5"/>
      <c r="AL292" s="5"/>
      <c r="AM292" s="5"/>
    </row>
    <row r="293" spans="1:39" ht="15.75" customHeight="1">
      <c r="A293" s="3"/>
      <c r="B293" s="3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V293" s="5"/>
      <c r="W293" s="5"/>
      <c r="X293" s="5"/>
      <c r="Y293" s="5"/>
      <c r="Z293" s="5"/>
      <c r="AA293" s="5"/>
      <c r="AB293" s="5"/>
      <c r="AC293" s="4" t="str">
        <f>IF(O340&gt;0,#REF!-O340,"")</f>
        <v/>
      </c>
      <c r="AD293" s="5"/>
      <c r="AE293" s="5"/>
      <c r="AF293" s="5"/>
      <c r="AG293" s="5"/>
      <c r="AH293" s="5"/>
      <c r="AI293" s="5"/>
      <c r="AJ293" s="5"/>
      <c r="AK293" s="5"/>
      <c r="AL293" s="5"/>
      <c r="AM293" s="5"/>
    </row>
    <row r="294" spans="1:39" ht="15.75" customHeight="1">
      <c r="A294" s="3"/>
      <c r="B294" s="3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V294" s="5"/>
      <c r="W294" s="5"/>
      <c r="X294" s="5"/>
      <c r="Y294" s="5"/>
      <c r="Z294" s="5"/>
      <c r="AA294" s="5"/>
      <c r="AB294" s="5"/>
      <c r="AC294" s="4" t="str">
        <f>IF(O341&gt;0,#REF!-O341,"")</f>
        <v/>
      </c>
      <c r="AD294" s="5"/>
      <c r="AE294" s="5"/>
      <c r="AF294" s="5"/>
      <c r="AG294" s="5"/>
      <c r="AH294" s="5"/>
      <c r="AI294" s="5"/>
      <c r="AJ294" s="5"/>
      <c r="AK294" s="5"/>
      <c r="AL294" s="5"/>
      <c r="AM294" s="5"/>
    </row>
    <row r="295" spans="1:39" ht="15.75" customHeight="1">
      <c r="A295" s="3"/>
      <c r="B295" s="3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V295" s="5"/>
      <c r="W295" s="5"/>
      <c r="X295" s="5"/>
      <c r="Y295" s="5"/>
      <c r="Z295" s="5"/>
      <c r="AA295" s="5"/>
      <c r="AB295" s="5"/>
      <c r="AC295" s="4" t="str">
        <f>IF(O342&gt;0,#REF!-O342,"")</f>
        <v/>
      </c>
      <c r="AD295" s="5"/>
      <c r="AE295" s="5"/>
      <c r="AF295" s="5"/>
      <c r="AG295" s="5"/>
      <c r="AH295" s="5"/>
      <c r="AI295" s="5"/>
      <c r="AJ295" s="5"/>
      <c r="AK295" s="5"/>
      <c r="AL295" s="5"/>
      <c r="AM295" s="5"/>
    </row>
    <row r="296" spans="1:39" ht="15.75" customHeight="1">
      <c r="A296" s="3"/>
      <c r="B296" s="3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V296" s="5"/>
      <c r="W296" s="5"/>
      <c r="X296" s="5"/>
      <c r="Y296" s="5"/>
      <c r="Z296" s="5"/>
      <c r="AA296" s="5"/>
      <c r="AB296" s="5"/>
      <c r="AC296" s="4" t="str">
        <f>IF(O343&gt;0,#REF!-O343,"")</f>
        <v/>
      </c>
      <c r="AD296" s="5"/>
      <c r="AE296" s="5"/>
      <c r="AF296" s="5"/>
      <c r="AG296" s="5"/>
      <c r="AH296" s="5"/>
      <c r="AI296" s="5"/>
      <c r="AJ296" s="5"/>
      <c r="AK296" s="5"/>
      <c r="AL296" s="5"/>
      <c r="AM296" s="5"/>
    </row>
    <row r="297" spans="1:39" ht="15.75" customHeight="1">
      <c r="A297" s="3"/>
      <c r="B297" s="3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V297" s="5"/>
      <c r="W297" s="5"/>
      <c r="X297" s="5"/>
      <c r="Y297" s="5"/>
      <c r="Z297" s="5"/>
      <c r="AA297" s="5"/>
      <c r="AB297" s="5"/>
      <c r="AC297" s="4" t="str">
        <f>IF(O344&gt;0,#REF!-O344,"")</f>
        <v/>
      </c>
      <c r="AD297" s="5"/>
      <c r="AE297" s="5"/>
      <c r="AF297" s="5"/>
      <c r="AG297" s="5"/>
      <c r="AH297" s="5"/>
      <c r="AI297" s="5"/>
      <c r="AJ297" s="5"/>
      <c r="AK297" s="5"/>
      <c r="AL297" s="5"/>
      <c r="AM297" s="5"/>
    </row>
    <row r="298" spans="1:39" ht="15.75" customHeight="1">
      <c r="A298" s="3"/>
      <c r="B298" s="3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V298" s="5"/>
      <c r="W298" s="5"/>
      <c r="X298" s="5"/>
      <c r="Y298" s="5"/>
      <c r="Z298" s="5"/>
      <c r="AA298" s="5"/>
      <c r="AB298" s="5"/>
      <c r="AC298" s="4" t="str">
        <f>IF(O345&gt;0,#REF!-O345,"")</f>
        <v/>
      </c>
      <c r="AD298" s="5"/>
      <c r="AE298" s="5"/>
      <c r="AF298" s="5"/>
      <c r="AG298" s="5"/>
      <c r="AH298" s="5"/>
      <c r="AI298" s="5"/>
      <c r="AJ298" s="5"/>
      <c r="AK298" s="5"/>
      <c r="AL298" s="5"/>
      <c r="AM298" s="5"/>
    </row>
    <row r="299" spans="1:39" ht="15.75" customHeight="1">
      <c r="A299" s="3"/>
      <c r="B299" s="3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V299" s="5"/>
      <c r="W299" s="5"/>
      <c r="X299" s="5"/>
      <c r="Y299" s="5"/>
      <c r="Z299" s="5"/>
      <c r="AA299" s="5"/>
      <c r="AB299" s="5"/>
      <c r="AC299" s="4" t="str">
        <f>IF(O346&gt;0,#REF!-O346,"")</f>
        <v/>
      </c>
      <c r="AD299" s="5"/>
      <c r="AE299" s="5"/>
      <c r="AF299" s="5"/>
      <c r="AG299" s="5"/>
      <c r="AH299" s="5"/>
      <c r="AI299" s="5"/>
      <c r="AJ299" s="5"/>
      <c r="AK299" s="5"/>
      <c r="AL299" s="5"/>
      <c r="AM299" s="5"/>
    </row>
    <row r="300" spans="1:39" ht="15.75" customHeight="1">
      <c r="A300" s="3"/>
      <c r="B300" s="3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V300" s="5"/>
      <c r="W300" s="5"/>
      <c r="X300" s="5"/>
      <c r="Y300" s="5"/>
      <c r="Z300" s="5"/>
      <c r="AA300" s="5"/>
      <c r="AB300" s="5"/>
      <c r="AC300" s="4" t="str">
        <f>IF(O347&gt;0,#REF!-O347,"")</f>
        <v/>
      </c>
      <c r="AD300" s="5"/>
      <c r="AE300" s="5"/>
      <c r="AF300" s="5"/>
      <c r="AG300" s="5"/>
      <c r="AH300" s="5"/>
      <c r="AI300" s="5"/>
      <c r="AJ300" s="5"/>
      <c r="AK300" s="5"/>
      <c r="AL300" s="5"/>
      <c r="AM300" s="5"/>
    </row>
    <row r="301" spans="1:39" ht="15.75" customHeight="1">
      <c r="A301" s="3"/>
      <c r="B301" s="3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V301" s="5"/>
      <c r="W301" s="5"/>
      <c r="X301" s="5"/>
      <c r="Y301" s="5"/>
      <c r="Z301" s="5"/>
      <c r="AA301" s="5"/>
      <c r="AB301" s="5"/>
      <c r="AC301" s="4" t="str">
        <f>IF(O348&gt;0,#REF!-O348,"")</f>
        <v/>
      </c>
      <c r="AD301" s="5"/>
      <c r="AE301" s="5"/>
      <c r="AF301" s="5"/>
      <c r="AG301" s="5"/>
      <c r="AH301" s="5"/>
      <c r="AI301" s="5"/>
      <c r="AJ301" s="5"/>
      <c r="AK301" s="5"/>
      <c r="AL301" s="5"/>
      <c r="AM301" s="5"/>
    </row>
    <row r="302" spans="1:39" ht="15.75" customHeight="1">
      <c r="A302" s="3"/>
      <c r="B302" s="3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V302" s="5"/>
      <c r="W302" s="5"/>
      <c r="X302" s="5"/>
      <c r="Y302" s="5"/>
      <c r="Z302" s="5"/>
      <c r="AA302" s="5"/>
      <c r="AB302" s="5"/>
      <c r="AC302" s="4" t="str">
        <f>IF(O349&gt;0,#REF!-O349,"")</f>
        <v/>
      </c>
      <c r="AD302" s="5"/>
      <c r="AE302" s="5"/>
      <c r="AF302" s="5"/>
      <c r="AG302" s="5"/>
      <c r="AH302" s="5"/>
      <c r="AI302" s="5"/>
      <c r="AJ302" s="5"/>
      <c r="AK302" s="5"/>
      <c r="AL302" s="5"/>
      <c r="AM302" s="5"/>
    </row>
    <row r="303" spans="1:39" ht="15.75" customHeight="1">
      <c r="A303" s="3"/>
      <c r="B303" s="3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V303" s="5"/>
      <c r="W303" s="5"/>
      <c r="X303" s="5"/>
      <c r="Y303" s="5"/>
      <c r="Z303" s="5"/>
      <c r="AA303" s="5"/>
      <c r="AB303" s="5"/>
      <c r="AC303" s="4" t="str">
        <f>IF(O350&gt;0,#REF!-O350,"")</f>
        <v/>
      </c>
      <c r="AD303" s="5"/>
      <c r="AE303" s="5"/>
      <c r="AF303" s="5"/>
      <c r="AG303" s="5"/>
      <c r="AH303" s="5"/>
      <c r="AI303" s="5"/>
      <c r="AJ303" s="5"/>
      <c r="AK303" s="5"/>
      <c r="AL303" s="5"/>
      <c r="AM303" s="5"/>
    </row>
    <row r="304" spans="1:39" ht="15.75" customHeight="1">
      <c r="A304" s="3"/>
      <c r="B304" s="3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V304" s="5"/>
      <c r="W304" s="5"/>
      <c r="X304" s="5"/>
      <c r="Y304" s="5"/>
      <c r="Z304" s="5"/>
      <c r="AA304" s="5"/>
      <c r="AB304" s="5"/>
      <c r="AC304" s="4" t="str">
        <f>IF(O351&gt;0,#REF!-O351,"")</f>
        <v/>
      </c>
      <c r="AD304" s="5"/>
      <c r="AE304" s="5"/>
      <c r="AF304" s="5"/>
      <c r="AG304" s="5"/>
      <c r="AH304" s="5"/>
      <c r="AI304" s="5"/>
      <c r="AJ304" s="5"/>
      <c r="AK304" s="5"/>
      <c r="AL304" s="5"/>
      <c r="AM304" s="5"/>
    </row>
    <row r="305" spans="1:39" ht="15.75" customHeight="1">
      <c r="A305" s="3"/>
      <c r="B305" s="3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V305" s="5"/>
      <c r="W305" s="5"/>
      <c r="X305" s="5"/>
      <c r="Y305" s="5"/>
      <c r="Z305" s="5"/>
      <c r="AA305" s="5"/>
      <c r="AB305" s="5"/>
      <c r="AC305" s="4" t="str">
        <f>IF(O352&gt;0,#REF!-O352,"")</f>
        <v/>
      </c>
      <c r="AD305" s="5"/>
      <c r="AE305" s="5"/>
      <c r="AF305" s="5"/>
      <c r="AG305" s="5"/>
      <c r="AH305" s="5"/>
      <c r="AI305" s="5"/>
      <c r="AJ305" s="5"/>
      <c r="AK305" s="5"/>
      <c r="AL305" s="5"/>
      <c r="AM305" s="5"/>
    </row>
    <row r="306" spans="1:39" ht="15.75" customHeight="1">
      <c r="A306" s="3"/>
      <c r="B306" s="3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V306" s="5"/>
      <c r="W306" s="5"/>
      <c r="X306" s="5"/>
      <c r="Y306" s="5"/>
      <c r="Z306" s="5"/>
      <c r="AA306" s="5"/>
      <c r="AB306" s="5"/>
      <c r="AC306" s="4" t="str">
        <f>IF(O353&gt;0,#REF!-O353,"")</f>
        <v/>
      </c>
      <c r="AD306" s="5"/>
      <c r="AE306" s="5"/>
      <c r="AF306" s="5"/>
      <c r="AG306" s="5"/>
      <c r="AH306" s="5"/>
      <c r="AI306" s="5"/>
      <c r="AJ306" s="5"/>
      <c r="AK306" s="5"/>
      <c r="AL306" s="5"/>
      <c r="AM306" s="5"/>
    </row>
    <row r="307" spans="1:39" ht="15.75" customHeight="1">
      <c r="A307" s="3"/>
      <c r="B307" s="3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V307" s="5"/>
      <c r="W307" s="5"/>
      <c r="X307" s="5"/>
      <c r="Y307" s="5"/>
      <c r="Z307" s="5"/>
      <c r="AA307" s="5"/>
      <c r="AB307" s="5"/>
      <c r="AC307" s="4" t="str">
        <f>IF(O354&gt;0,#REF!-O354,"")</f>
        <v/>
      </c>
      <c r="AD307" s="5"/>
      <c r="AE307" s="5"/>
      <c r="AF307" s="5"/>
      <c r="AG307" s="5"/>
      <c r="AH307" s="5"/>
      <c r="AI307" s="5"/>
      <c r="AJ307" s="5"/>
      <c r="AK307" s="5"/>
      <c r="AL307" s="5"/>
      <c r="AM307" s="5"/>
    </row>
    <row r="308" spans="1:39" ht="15.75" customHeight="1">
      <c r="A308" s="3"/>
      <c r="B308" s="3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V308" s="5"/>
      <c r="W308" s="5"/>
      <c r="X308" s="5"/>
      <c r="Y308" s="5"/>
      <c r="Z308" s="5"/>
      <c r="AA308" s="5"/>
      <c r="AB308" s="5"/>
      <c r="AC308" s="4" t="str">
        <f>IF(O355&gt;0,#REF!-O355,"")</f>
        <v/>
      </c>
      <c r="AD308" s="5"/>
      <c r="AE308" s="5"/>
      <c r="AF308" s="5"/>
      <c r="AG308" s="5"/>
      <c r="AH308" s="5"/>
      <c r="AI308" s="5"/>
      <c r="AJ308" s="5"/>
      <c r="AK308" s="5"/>
      <c r="AL308" s="5"/>
      <c r="AM308" s="5"/>
    </row>
    <row r="309" spans="1:39" ht="15.75" customHeight="1">
      <c r="A309" s="3"/>
      <c r="B309" s="3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V309" s="5"/>
      <c r="W309" s="5"/>
      <c r="X309" s="5"/>
      <c r="Y309" s="5"/>
      <c r="Z309" s="5"/>
      <c r="AA309" s="5"/>
      <c r="AB309" s="5"/>
      <c r="AC309" s="4" t="str">
        <f>IF(O356&gt;0,#REF!-O356,"")</f>
        <v/>
      </c>
      <c r="AD309" s="5"/>
      <c r="AE309" s="5"/>
      <c r="AF309" s="5"/>
      <c r="AG309" s="5"/>
      <c r="AH309" s="5"/>
      <c r="AI309" s="5"/>
      <c r="AJ309" s="5"/>
      <c r="AK309" s="5"/>
      <c r="AL309" s="5"/>
      <c r="AM309" s="5"/>
    </row>
    <row r="310" spans="1:39" ht="15.75" customHeight="1">
      <c r="A310" s="3"/>
      <c r="B310" s="3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V310" s="5"/>
      <c r="W310" s="5"/>
      <c r="X310" s="5"/>
      <c r="Y310" s="5"/>
      <c r="Z310" s="5"/>
      <c r="AA310" s="5"/>
      <c r="AB310" s="5"/>
      <c r="AC310" s="4" t="str">
        <f>IF(O357&gt;0,#REF!-O357,"")</f>
        <v/>
      </c>
      <c r="AD310" s="5"/>
      <c r="AE310" s="5"/>
      <c r="AF310" s="5"/>
      <c r="AG310" s="5"/>
      <c r="AH310" s="5"/>
      <c r="AI310" s="5"/>
      <c r="AJ310" s="5"/>
      <c r="AK310" s="5"/>
      <c r="AL310" s="5"/>
      <c r="AM310" s="5"/>
    </row>
    <row r="311" spans="1:39" ht="15.75" customHeight="1">
      <c r="A311" s="3"/>
      <c r="B311" s="3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V311" s="5"/>
      <c r="W311" s="5"/>
      <c r="X311" s="5"/>
      <c r="Y311" s="5"/>
      <c r="Z311" s="5"/>
      <c r="AA311" s="5"/>
      <c r="AB311" s="5"/>
      <c r="AC311" s="4" t="str">
        <f>IF(O358&gt;0,#REF!-O358,"")</f>
        <v/>
      </c>
      <c r="AD311" s="5"/>
      <c r="AE311" s="5"/>
      <c r="AF311" s="5"/>
      <c r="AG311" s="5"/>
      <c r="AH311" s="5"/>
      <c r="AI311" s="5"/>
      <c r="AJ311" s="5"/>
      <c r="AK311" s="5"/>
      <c r="AL311" s="5"/>
      <c r="AM311" s="5"/>
    </row>
    <row r="312" spans="1:39" ht="15.75" customHeight="1">
      <c r="A312" s="3"/>
      <c r="B312" s="3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V312" s="5"/>
      <c r="W312" s="5"/>
      <c r="X312" s="5"/>
      <c r="Y312" s="5"/>
      <c r="Z312" s="5"/>
      <c r="AA312" s="5"/>
      <c r="AB312" s="5"/>
      <c r="AC312" s="4" t="str">
        <f>IF(O359&gt;0,#REF!-O359,"")</f>
        <v/>
      </c>
      <c r="AD312" s="5"/>
      <c r="AE312" s="5"/>
      <c r="AF312" s="5"/>
      <c r="AG312" s="5"/>
      <c r="AH312" s="5"/>
      <c r="AI312" s="5"/>
      <c r="AJ312" s="5"/>
      <c r="AK312" s="5"/>
      <c r="AL312" s="5"/>
      <c r="AM312" s="5"/>
    </row>
    <row r="313" spans="1:39" ht="15.75" customHeight="1">
      <c r="A313" s="3"/>
      <c r="B313" s="3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V313" s="5"/>
      <c r="W313" s="5"/>
      <c r="X313" s="5"/>
      <c r="Y313" s="5"/>
      <c r="Z313" s="5"/>
      <c r="AA313" s="5"/>
      <c r="AB313" s="5"/>
      <c r="AC313" s="4" t="str">
        <f>IF(O360&gt;0,#REF!-O360,"")</f>
        <v/>
      </c>
      <c r="AD313" s="5"/>
      <c r="AE313" s="5"/>
      <c r="AF313" s="5"/>
      <c r="AG313" s="5"/>
      <c r="AH313" s="5"/>
      <c r="AI313" s="5"/>
      <c r="AJ313" s="5"/>
      <c r="AK313" s="5"/>
      <c r="AL313" s="5"/>
      <c r="AM313" s="5"/>
    </row>
    <row r="314" spans="1:39" ht="15.75" customHeight="1">
      <c r="A314" s="3"/>
      <c r="B314" s="3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V314" s="5"/>
      <c r="W314" s="5"/>
      <c r="X314" s="5"/>
      <c r="Y314" s="5"/>
      <c r="Z314" s="5"/>
      <c r="AA314" s="5"/>
      <c r="AB314" s="5"/>
      <c r="AC314" s="4" t="str">
        <f>IF(O361&gt;0,#REF!-O361,"")</f>
        <v/>
      </c>
      <c r="AD314" s="5"/>
      <c r="AE314" s="5"/>
      <c r="AF314" s="5"/>
      <c r="AG314" s="5"/>
      <c r="AH314" s="5"/>
      <c r="AI314" s="5"/>
      <c r="AJ314" s="5"/>
      <c r="AK314" s="5"/>
      <c r="AL314" s="5"/>
      <c r="AM314" s="5"/>
    </row>
    <row r="315" spans="1:39" ht="15.75" customHeight="1">
      <c r="A315" s="3"/>
      <c r="B315" s="3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V315" s="5"/>
      <c r="W315" s="5"/>
      <c r="X315" s="5"/>
      <c r="Y315" s="5"/>
      <c r="Z315" s="5"/>
      <c r="AA315" s="5"/>
      <c r="AB315" s="5"/>
      <c r="AC315" s="4" t="str">
        <f>IF(O362&gt;0,#REF!-O362,"")</f>
        <v/>
      </c>
      <c r="AD315" s="5"/>
      <c r="AE315" s="5"/>
      <c r="AF315" s="5"/>
      <c r="AG315" s="5"/>
      <c r="AH315" s="5"/>
      <c r="AI315" s="5"/>
      <c r="AJ315" s="5"/>
      <c r="AK315" s="5"/>
      <c r="AL315" s="5"/>
      <c r="AM315" s="5"/>
    </row>
    <row r="316" spans="1:39" ht="15.75" customHeight="1">
      <c r="A316" s="3"/>
      <c r="B316" s="3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V316" s="5"/>
      <c r="W316" s="5"/>
      <c r="X316" s="5"/>
      <c r="Y316" s="5"/>
      <c r="Z316" s="5"/>
      <c r="AA316" s="5"/>
      <c r="AB316" s="5"/>
      <c r="AC316" s="4" t="str">
        <f>IF(O363&gt;0,#REF!-O363,"")</f>
        <v/>
      </c>
      <c r="AD316" s="5"/>
      <c r="AE316" s="5"/>
      <c r="AF316" s="5"/>
      <c r="AG316" s="5"/>
      <c r="AH316" s="5"/>
      <c r="AI316" s="5"/>
      <c r="AJ316" s="5"/>
      <c r="AK316" s="5"/>
      <c r="AL316" s="5"/>
      <c r="AM316" s="5"/>
    </row>
    <row r="317" spans="1:39" ht="15.75" customHeight="1">
      <c r="A317" s="3"/>
      <c r="B317" s="3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V317" s="5"/>
      <c r="W317" s="5"/>
      <c r="X317" s="5"/>
      <c r="Y317" s="5"/>
      <c r="Z317" s="5"/>
      <c r="AA317" s="5"/>
      <c r="AB317" s="5"/>
      <c r="AC317" s="4" t="str">
        <f>IF(O364&gt;0,#REF!-O364,"")</f>
        <v/>
      </c>
      <c r="AD317" s="5"/>
      <c r="AE317" s="5"/>
      <c r="AF317" s="5"/>
      <c r="AG317" s="5"/>
      <c r="AH317" s="5"/>
      <c r="AI317" s="5"/>
      <c r="AJ317" s="5"/>
      <c r="AK317" s="5"/>
      <c r="AL317" s="5"/>
      <c r="AM317" s="5"/>
    </row>
    <row r="318" spans="1:39" ht="15.75" customHeight="1">
      <c r="A318" s="3"/>
      <c r="B318" s="3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V318" s="5"/>
      <c r="W318" s="5"/>
      <c r="X318" s="5"/>
      <c r="Y318" s="5"/>
      <c r="Z318" s="5"/>
      <c r="AA318" s="5"/>
      <c r="AB318" s="5"/>
      <c r="AC318" s="4" t="str">
        <f>IF(O365&gt;0,#REF!-O365,"")</f>
        <v/>
      </c>
      <c r="AD318" s="5"/>
      <c r="AE318" s="5"/>
      <c r="AF318" s="5"/>
      <c r="AG318" s="5"/>
      <c r="AH318" s="5"/>
      <c r="AI318" s="5"/>
      <c r="AJ318" s="5"/>
      <c r="AK318" s="5"/>
      <c r="AL318" s="5"/>
      <c r="AM318" s="5"/>
    </row>
    <row r="319" spans="1:39" ht="15.75" customHeight="1">
      <c r="A319" s="3"/>
      <c r="B319" s="3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V319" s="5"/>
      <c r="W319" s="5"/>
      <c r="X319" s="5"/>
      <c r="Y319" s="5"/>
      <c r="Z319" s="5"/>
      <c r="AA319" s="5"/>
      <c r="AB319" s="5"/>
      <c r="AC319" s="4" t="str">
        <f>IF(O366&gt;0,#REF!-O366,"")</f>
        <v/>
      </c>
      <c r="AD319" s="5"/>
      <c r="AE319" s="5"/>
      <c r="AF319" s="5"/>
      <c r="AG319" s="5"/>
      <c r="AH319" s="5"/>
      <c r="AI319" s="5"/>
      <c r="AJ319" s="5"/>
      <c r="AK319" s="5"/>
      <c r="AL319" s="5"/>
      <c r="AM319" s="5"/>
    </row>
    <row r="320" spans="1:39" ht="15.75" customHeight="1">
      <c r="A320" s="3"/>
      <c r="B320" s="3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V320" s="5"/>
      <c r="W320" s="5"/>
      <c r="X320" s="5"/>
      <c r="Y320" s="5"/>
      <c r="Z320" s="5"/>
      <c r="AA320" s="5"/>
      <c r="AB320" s="5"/>
      <c r="AC320" s="4" t="str">
        <f>IF(O367&gt;0,#REF!-O367,"")</f>
        <v/>
      </c>
      <c r="AD320" s="5"/>
      <c r="AE320" s="5"/>
      <c r="AF320" s="5"/>
      <c r="AG320" s="5"/>
      <c r="AH320" s="5"/>
      <c r="AI320" s="5"/>
      <c r="AJ320" s="5"/>
      <c r="AK320" s="5"/>
      <c r="AL320" s="5"/>
      <c r="AM320" s="5"/>
    </row>
    <row r="321" spans="1:39" ht="15.75" customHeight="1">
      <c r="A321" s="3"/>
      <c r="B321" s="3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</row>
    <row r="322" spans="1:39" ht="15.75" customHeight="1">
      <c r="A322" s="3"/>
      <c r="B322" s="3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</row>
    <row r="323" spans="1:39" ht="15.75" customHeight="1">
      <c r="A323" s="3"/>
      <c r="B323" s="3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</row>
    <row r="324" spans="1:39" ht="15.75" customHeight="1">
      <c r="A324" s="3"/>
      <c r="B324" s="3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</row>
    <row r="325" spans="1:39" ht="15.75" customHeight="1">
      <c r="A325" s="3"/>
      <c r="B325" s="3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</row>
    <row r="326" spans="1:39" ht="15.75" customHeight="1">
      <c r="A326" s="3"/>
      <c r="B326" s="3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</row>
    <row r="327" spans="1:39" ht="15.75" customHeight="1">
      <c r="A327" s="3"/>
      <c r="B327" s="3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</row>
    <row r="328" spans="1:39" ht="15.75" customHeight="1">
      <c r="A328" s="3"/>
      <c r="B328" s="3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</row>
    <row r="329" spans="1:39" ht="15.75" customHeight="1">
      <c r="A329" s="3"/>
      <c r="B329" s="3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</row>
    <row r="330" spans="1:39" ht="15.75" customHeight="1">
      <c r="A330" s="3"/>
      <c r="B330" s="3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</row>
    <row r="331" spans="1:39" ht="15.75" customHeight="1">
      <c r="A331" s="3"/>
      <c r="B331" s="3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</row>
    <row r="332" spans="1:39" ht="15.75" customHeight="1">
      <c r="A332" s="3"/>
      <c r="B332" s="3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</row>
    <row r="333" spans="1:39" ht="15.75" customHeight="1">
      <c r="A333" s="3"/>
      <c r="B333" s="3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</row>
    <row r="334" spans="1:39" ht="15.75" customHeight="1">
      <c r="A334" s="3"/>
      <c r="B334" s="3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</row>
    <row r="335" spans="1:39" ht="15.75" customHeight="1">
      <c r="A335" s="3"/>
      <c r="B335" s="3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</row>
    <row r="336" spans="1:39" ht="15.75" customHeight="1">
      <c r="A336" s="3"/>
      <c r="B336" s="3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</row>
    <row r="337" spans="1:39" ht="15.75" customHeight="1">
      <c r="A337" s="3"/>
      <c r="B337" s="3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</row>
    <row r="338" spans="1:39" ht="15.75" customHeight="1">
      <c r="A338" s="3"/>
      <c r="B338" s="3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</row>
    <row r="339" spans="1:39" ht="15.75" customHeight="1">
      <c r="A339" s="3"/>
      <c r="B339" s="3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</row>
    <row r="340" spans="1:39" ht="15.75" customHeight="1">
      <c r="A340" s="3"/>
      <c r="B340" s="3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</row>
    <row r="341" spans="1:39" ht="15.75" customHeight="1">
      <c r="A341" s="3"/>
      <c r="B341" s="3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</row>
    <row r="342" spans="1:39" ht="15.75" customHeight="1">
      <c r="A342" s="3"/>
      <c r="B342" s="3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</row>
    <row r="343" spans="1:39" ht="15.75" customHeight="1">
      <c r="A343" s="3"/>
      <c r="B343" s="3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</row>
    <row r="344" spans="1:39" ht="15.75" customHeight="1">
      <c r="A344" s="3"/>
      <c r="B344" s="3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</row>
    <row r="345" spans="1:39" ht="15.75" customHeight="1">
      <c r="A345" s="3"/>
      <c r="B345" s="3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</row>
    <row r="346" spans="1:39" ht="15.75" customHeight="1">
      <c r="A346" s="3"/>
      <c r="B346" s="3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</row>
    <row r="347" spans="1:39" ht="15.75" customHeight="1">
      <c r="A347" s="3"/>
      <c r="B347" s="3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</row>
    <row r="348" spans="1:39" ht="15.75" customHeight="1">
      <c r="A348" s="3"/>
      <c r="B348" s="3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</row>
    <row r="349" spans="1:39" ht="15.75" customHeight="1">
      <c r="A349" s="3"/>
      <c r="B349" s="3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</row>
    <row r="350" spans="1:39" ht="15.75" customHeight="1">
      <c r="A350" s="3"/>
      <c r="B350" s="3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</row>
    <row r="351" spans="1:39" ht="15.75" customHeight="1">
      <c r="A351" s="3"/>
      <c r="B351" s="3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</row>
    <row r="352" spans="1:39" ht="15.75" customHeight="1">
      <c r="A352" s="3"/>
      <c r="B352" s="3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</row>
    <row r="353" spans="1:39" ht="15.75" customHeight="1">
      <c r="A353" s="3"/>
      <c r="B353" s="3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</row>
    <row r="354" spans="1:39" ht="15.75" customHeight="1">
      <c r="A354" s="3"/>
      <c r="B354" s="3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</row>
    <row r="355" spans="1:39" ht="15.75" customHeight="1">
      <c r="A355" s="3"/>
      <c r="B355" s="3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</row>
    <row r="356" spans="1:39" ht="15.75" customHeight="1">
      <c r="A356" s="3"/>
      <c r="B356" s="3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</row>
    <row r="357" spans="1:39" ht="15.75" customHeight="1">
      <c r="A357" s="3"/>
      <c r="B357" s="3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</row>
    <row r="358" spans="1:39" ht="15.75" customHeight="1">
      <c r="A358" s="3"/>
      <c r="B358" s="3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</row>
    <row r="359" spans="1:39" ht="15.75" customHeight="1">
      <c r="A359" s="3"/>
      <c r="B359" s="3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</row>
    <row r="360" spans="1:39" ht="15.75" customHeight="1">
      <c r="A360" s="3"/>
      <c r="B360" s="3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</row>
    <row r="361" spans="1:39" ht="15.75" customHeight="1">
      <c r="A361" s="3"/>
      <c r="B361" s="3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</row>
    <row r="362" spans="1:39" ht="15.75" customHeight="1">
      <c r="A362" s="3"/>
      <c r="B362" s="3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</row>
    <row r="363" spans="1:39" ht="15.75" customHeight="1">
      <c r="A363" s="3"/>
      <c r="B363" s="3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</row>
    <row r="364" spans="1:39" ht="15.75" customHeight="1">
      <c r="A364" s="3"/>
      <c r="B364" s="3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</row>
    <row r="365" spans="1:39" ht="15.75" customHeight="1">
      <c r="A365" s="3"/>
      <c r="B365" s="3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</row>
    <row r="366" spans="1:39" ht="15.75" customHeight="1">
      <c r="A366" s="3"/>
      <c r="B366" s="3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</row>
    <row r="367" spans="1:39" ht="15.75" customHeight="1">
      <c r="A367" s="3"/>
      <c r="B367" s="3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</row>
    <row r="368" spans="1:39" ht="15.75" customHeight="1">
      <c r="A368" s="3"/>
      <c r="B368" s="3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</row>
    <row r="369" spans="1:39" ht="15.75" customHeight="1">
      <c r="A369" s="3"/>
      <c r="B369" s="3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</row>
    <row r="370" spans="1:39" ht="15.75" customHeight="1">
      <c r="A370" s="3"/>
      <c r="B370" s="3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</row>
    <row r="371" spans="1:39" ht="15.75" customHeight="1">
      <c r="A371" s="3"/>
      <c r="B371" s="3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</row>
    <row r="372" spans="1:39" ht="15.75" customHeight="1">
      <c r="A372" s="3"/>
      <c r="B372" s="3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</row>
    <row r="373" spans="1:39" ht="15.75" customHeight="1">
      <c r="A373" s="3"/>
      <c r="B373" s="3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</row>
    <row r="374" spans="1:39" ht="15.75" customHeight="1">
      <c r="A374" s="3"/>
      <c r="B374" s="3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</row>
    <row r="375" spans="1:39" ht="15.75" customHeight="1">
      <c r="A375" s="3"/>
      <c r="B375" s="3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</row>
    <row r="376" spans="1:39" ht="15.75" customHeight="1">
      <c r="A376" s="3"/>
      <c r="B376" s="3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</row>
    <row r="377" spans="1:39" ht="15.75" customHeight="1">
      <c r="A377" s="3"/>
      <c r="B377" s="3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</row>
    <row r="378" spans="1:39" ht="15.75" customHeight="1">
      <c r="A378" s="3"/>
      <c r="B378" s="3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</row>
    <row r="379" spans="1:39" ht="15.75" customHeight="1">
      <c r="A379" s="3"/>
      <c r="B379" s="3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</row>
    <row r="380" spans="1:39" ht="15.75" customHeight="1">
      <c r="A380" s="3"/>
      <c r="B380" s="3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</row>
    <row r="381" spans="1:39" ht="15.75" customHeight="1">
      <c r="A381" s="3"/>
      <c r="B381" s="3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</row>
    <row r="382" spans="1:39" ht="15.75" customHeight="1">
      <c r="A382" s="3"/>
      <c r="B382" s="3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</row>
    <row r="383" spans="1:39" ht="15.75" customHeight="1">
      <c r="A383" s="3"/>
      <c r="B383" s="3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</row>
    <row r="384" spans="1:39" ht="15.75" customHeight="1">
      <c r="A384" s="3"/>
      <c r="B384" s="3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</row>
    <row r="385" spans="1:39" ht="15.75" customHeight="1">
      <c r="A385" s="3"/>
      <c r="B385" s="3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</row>
    <row r="386" spans="1:39" ht="15.75" customHeight="1">
      <c r="A386" s="3"/>
      <c r="B386" s="3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</row>
    <row r="387" spans="1:39" ht="15.75" customHeight="1">
      <c r="A387" s="3"/>
      <c r="B387" s="3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</row>
    <row r="388" spans="1:39" ht="15.75" customHeight="1">
      <c r="A388" s="3"/>
      <c r="B388" s="3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</row>
    <row r="389" spans="1:39" ht="15.75" customHeight="1">
      <c r="A389" s="3"/>
      <c r="B389" s="3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</row>
    <row r="390" spans="1:39" ht="15.75" customHeight="1">
      <c r="A390" s="3"/>
      <c r="B390" s="3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</row>
    <row r="391" spans="1:39" ht="15.75" customHeight="1">
      <c r="A391" s="3"/>
      <c r="B391" s="3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</row>
    <row r="392" spans="1:39" ht="15.75" customHeight="1">
      <c r="A392" s="3"/>
      <c r="B392" s="3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</row>
    <row r="393" spans="1:39" ht="15.75" customHeight="1">
      <c r="A393" s="3"/>
      <c r="B393" s="3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</row>
    <row r="394" spans="1:39" ht="15.75" customHeight="1">
      <c r="A394" s="3"/>
      <c r="B394" s="3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</row>
    <row r="395" spans="1:39" ht="15.75" customHeight="1">
      <c r="A395" s="3"/>
      <c r="B395" s="3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</row>
    <row r="396" spans="1:39" ht="15.75" customHeight="1">
      <c r="A396" s="3"/>
      <c r="B396" s="3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</row>
    <row r="397" spans="1:39" ht="15.75" customHeight="1">
      <c r="A397" s="3"/>
      <c r="B397" s="3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</row>
    <row r="398" spans="1:39" ht="15.75" customHeight="1">
      <c r="A398" s="3"/>
      <c r="B398" s="3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</row>
    <row r="399" spans="1:39" ht="15.75" customHeight="1">
      <c r="A399" s="3"/>
      <c r="B399" s="3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</row>
    <row r="400" spans="1:39" ht="15.75" customHeight="1">
      <c r="A400" s="3"/>
      <c r="B400" s="3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</row>
    <row r="401" spans="1:39" ht="15.75" customHeight="1">
      <c r="A401" s="3"/>
      <c r="B401" s="3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</row>
    <row r="402" spans="1:39" ht="15.75" customHeight="1">
      <c r="A402" s="3"/>
      <c r="B402" s="3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</row>
    <row r="403" spans="1:39" ht="15.75" customHeight="1">
      <c r="A403" s="3"/>
      <c r="B403" s="3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</row>
    <row r="404" spans="1:39" ht="15.75" customHeight="1">
      <c r="A404" s="3"/>
      <c r="B404" s="3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</row>
    <row r="405" spans="1:39" ht="15.75" customHeight="1">
      <c r="A405" s="3"/>
      <c r="B405" s="3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</row>
    <row r="406" spans="1:39" ht="15.75" customHeight="1">
      <c r="A406" s="3"/>
      <c r="B406" s="3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</row>
    <row r="407" spans="1:39" ht="15.75" customHeight="1">
      <c r="A407" s="3"/>
      <c r="B407" s="3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</row>
    <row r="408" spans="1:39" ht="15.75" customHeight="1">
      <c r="A408" s="3"/>
      <c r="B408" s="3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</row>
    <row r="409" spans="1:39" ht="15.75" customHeight="1">
      <c r="A409" s="3"/>
      <c r="B409" s="3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</row>
    <row r="410" spans="1:39" ht="15.75" customHeight="1">
      <c r="A410" s="3"/>
      <c r="B410" s="3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</row>
    <row r="411" spans="1:39" ht="15.75" customHeight="1">
      <c r="A411" s="3"/>
      <c r="B411" s="3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</row>
    <row r="412" spans="1:39" ht="15.75" customHeight="1">
      <c r="A412" s="3"/>
      <c r="B412" s="3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</row>
    <row r="413" spans="1:39" ht="15.75" customHeight="1">
      <c r="A413" s="3"/>
      <c r="B413" s="3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</row>
    <row r="414" spans="1:39" ht="15.75" customHeight="1">
      <c r="A414" s="3"/>
      <c r="B414" s="3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</row>
    <row r="415" spans="1:39" ht="15.75" customHeight="1">
      <c r="A415" s="3"/>
      <c r="B415" s="3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</row>
    <row r="416" spans="1:39" ht="15.75" customHeight="1">
      <c r="A416" s="3"/>
      <c r="B416" s="3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</row>
    <row r="417" spans="1:39" ht="15.75" customHeight="1">
      <c r="A417" s="3"/>
      <c r="B417" s="3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</row>
    <row r="418" spans="1:39" ht="15.75" customHeight="1">
      <c r="A418" s="3"/>
      <c r="B418" s="3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</row>
    <row r="419" spans="1:39" ht="15.75" customHeight="1">
      <c r="A419" s="3"/>
      <c r="B419" s="3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</row>
    <row r="420" spans="1:39" ht="15.75" customHeight="1">
      <c r="A420" s="3"/>
      <c r="B420" s="3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</row>
    <row r="421" spans="1:39" ht="15.75" customHeight="1">
      <c r="A421" s="3"/>
      <c r="B421" s="3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</row>
    <row r="422" spans="1:39" ht="15.75" customHeight="1">
      <c r="A422" s="3"/>
      <c r="B422" s="3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</row>
    <row r="423" spans="1:39" ht="15.75" customHeight="1">
      <c r="A423" s="3"/>
      <c r="B423" s="3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</row>
    <row r="424" spans="1:39" ht="15.75" customHeight="1">
      <c r="A424" s="3"/>
      <c r="B424" s="3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</row>
    <row r="425" spans="1:39" ht="15.75" customHeight="1">
      <c r="A425" s="3"/>
      <c r="B425" s="3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</row>
    <row r="426" spans="1:39" ht="15.75" customHeight="1">
      <c r="A426" s="3"/>
      <c r="B426" s="3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</row>
    <row r="427" spans="1:39" ht="15.75" customHeight="1">
      <c r="A427" s="3"/>
      <c r="B427" s="3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</row>
    <row r="428" spans="1:39" ht="15.75" customHeight="1">
      <c r="A428" s="3"/>
      <c r="B428" s="3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</row>
    <row r="429" spans="1:39" ht="15.75" customHeight="1">
      <c r="A429" s="3"/>
      <c r="B429" s="3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</row>
    <row r="430" spans="1:39" ht="15.75" customHeight="1">
      <c r="A430" s="3"/>
      <c r="B430" s="3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</row>
    <row r="431" spans="1:39" ht="15.75" customHeight="1">
      <c r="A431" s="3"/>
      <c r="B431" s="3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</row>
    <row r="432" spans="1:39" ht="15.75" customHeight="1">
      <c r="A432" s="3"/>
      <c r="B432" s="3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</row>
    <row r="433" spans="1:39" ht="15.75" customHeight="1">
      <c r="A433" s="3"/>
      <c r="B433" s="3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</row>
    <row r="434" spans="1:39" ht="15.75" customHeight="1">
      <c r="A434" s="3"/>
      <c r="B434" s="3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</row>
    <row r="435" spans="1:39" ht="15.75" customHeight="1">
      <c r="A435" s="3"/>
      <c r="B435" s="3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</row>
    <row r="436" spans="1:39" ht="15.75" customHeight="1">
      <c r="A436" s="3"/>
      <c r="B436" s="3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</row>
    <row r="437" spans="1:39" ht="15.75" customHeight="1">
      <c r="A437" s="3"/>
      <c r="B437" s="3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</row>
    <row r="438" spans="1:39" ht="15.75" customHeight="1">
      <c r="A438" s="3"/>
      <c r="B438" s="3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</row>
    <row r="439" spans="1:39" ht="15.75" customHeight="1">
      <c r="A439" s="3"/>
      <c r="B439" s="3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</row>
    <row r="440" spans="1:39" ht="15.75" customHeight="1">
      <c r="A440" s="3"/>
      <c r="B440" s="3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</row>
    <row r="441" spans="1:39" ht="15.75" customHeight="1">
      <c r="A441" s="3"/>
      <c r="B441" s="3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</row>
    <row r="442" spans="1:39" ht="15.75" customHeight="1">
      <c r="A442" s="3"/>
      <c r="B442" s="3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</row>
    <row r="443" spans="1:39" ht="15.75" customHeight="1">
      <c r="A443" s="3"/>
      <c r="B443" s="3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</row>
    <row r="444" spans="1:39" ht="15.75" customHeight="1">
      <c r="A444" s="3"/>
      <c r="B444" s="3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</row>
    <row r="445" spans="1:39" ht="15.75" customHeight="1">
      <c r="A445" s="3"/>
      <c r="B445" s="3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</row>
    <row r="446" spans="1:39" ht="15.75" customHeight="1">
      <c r="A446" s="3"/>
      <c r="B446" s="3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</row>
    <row r="447" spans="1:39" ht="15.75" customHeight="1">
      <c r="A447" s="3"/>
      <c r="B447" s="3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</row>
    <row r="448" spans="1:39" ht="15.75" customHeight="1">
      <c r="A448" s="3"/>
      <c r="B448" s="3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</row>
    <row r="449" spans="1:39" ht="15.75" customHeight="1">
      <c r="A449" s="3"/>
      <c r="B449" s="3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</row>
    <row r="450" spans="1:39" ht="15.75" customHeight="1">
      <c r="A450" s="3"/>
      <c r="B450" s="3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</row>
    <row r="451" spans="1:39" ht="15.75" customHeight="1">
      <c r="A451" s="3"/>
      <c r="B451" s="3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</row>
    <row r="452" spans="1:39" ht="15.75" customHeight="1">
      <c r="A452" s="3"/>
      <c r="B452" s="3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</row>
    <row r="453" spans="1:39" ht="15.75" customHeight="1">
      <c r="A453" s="3"/>
      <c r="B453" s="3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</row>
    <row r="454" spans="1:39" ht="15.75" customHeight="1">
      <c r="A454" s="3"/>
      <c r="B454" s="3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</row>
    <row r="455" spans="1:39" ht="15.75" customHeight="1">
      <c r="A455" s="3"/>
      <c r="B455" s="3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</row>
    <row r="456" spans="1:39" ht="15.75" customHeight="1">
      <c r="A456" s="3"/>
      <c r="B456" s="3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</row>
    <row r="457" spans="1:39" ht="15.75" customHeight="1">
      <c r="A457" s="3"/>
      <c r="B457" s="3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</row>
    <row r="458" spans="1:39" ht="15.75" customHeight="1">
      <c r="A458" s="3"/>
      <c r="B458" s="3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</row>
    <row r="459" spans="1:39" ht="15.75" customHeight="1">
      <c r="A459" s="3"/>
      <c r="B459" s="3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</row>
    <row r="460" spans="1:39" ht="15.75" customHeight="1">
      <c r="A460" s="3"/>
      <c r="B460" s="3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</row>
    <row r="461" spans="1:39" ht="15.75" customHeight="1">
      <c r="A461" s="3"/>
      <c r="B461" s="3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</row>
    <row r="462" spans="1:39" ht="15.75" customHeight="1">
      <c r="A462" s="3"/>
      <c r="B462" s="3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</row>
    <row r="463" spans="1:39" ht="15.75" customHeight="1">
      <c r="A463" s="3"/>
      <c r="B463" s="3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</row>
    <row r="464" spans="1:39" ht="15.75" customHeight="1">
      <c r="A464" s="3"/>
      <c r="B464" s="3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</row>
    <row r="465" spans="1:39" ht="15.75" customHeight="1">
      <c r="A465" s="3"/>
      <c r="B465" s="3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</row>
    <row r="466" spans="1:39" ht="15.75" customHeight="1">
      <c r="A466" s="3"/>
      <c r="B466" s="3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</row>
    <row r="467" spans="1:39" ht="15.75" customHeight="1">
      <c r="A467" s="3"/>
      <c r="B467" s="3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</row>
    <row r="468" spans="1:39" ht="15.75" customHeight="1">
      <c r="A468" s="3"/>
      <c r="B468" s="3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</row>
    <row r="469" spans="1:39" ht="15.75" customHeight="1">
      <c r="A469" s="3"/>
      <c r="B469" s="3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</row>
    <row r="470" spans="1:39" ht="15.75" customHeight="1">
      <c r="A470" s="3"/>
      <c r="B470" s="3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</row>
    <row r="471" spans="1:39" ht="15.75" customHeight="1">
      <c r="A471" s="3"/>
      <c r="B471" s="3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</row>
    <row r="472" spans="1:39" ht="15.75" customHeight="1">
      <c r="A472" s="3"/>
      <c r="B472" s="3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</row>
    <row r="473" spans="1:39" ht="15.75" customHeight="1">
      <c r="A473" s="3"/>
      <c r="B473" s="3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</row>
    <row r="474" spans="1:39" ht="15.75" customHeight="1">
      <c r="A474" s="3"/>
      <c r="B474" s="3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</row>
    <row r="475" spans="1:39" ht="15.75" customHeight="1">
      <c r="A475" s="3"/>
      <c r="B475" s="3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</row>
    <row r="476" spans="1:39" ht="15.75" customHeight="1">
      <c r="A476" s="3"/>
      <c r="B476" s="3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</row>
    <row r="477" spans="1:39" ht="15.75" customHeight="1">
      <c r="A477" s="3"/>
      <c r="B477" s="3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</row>
    <row r="478" spans="1:39" ht="15.75" customHeight="1">
      <c r="A478" s="3"/>
      <c r="B478" s="3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</row>
    <row r="479" spans="1:39" ht="15.75" customHeight="1">
      <c r="A479" s="3"/>
      <c r="B479" s="3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</row>
    <row r="480" spans="1:39" ht="15.75" customHeight="1">
      <c r="A480" s="3"/>
      <c r="B480" s="3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</row>
    <row r="481" spans="1:39" ht="15.75" customHeight="1">
      <c r="A481" s="3"/>
      <c r="B481" s="3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</row>
    <row r="482" spans="1:39" ht="15.75" customHeight="1">
      <c r="A482" s="3"/>
      <c r="B482" s="3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</row>
    <row r="483" spans="1:39" ht="15.75" customHeight="1">
      <c r="A483" s="3"/>
      <c r="B483" s="3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</row>
    <row r="484" spans="1:39" ht="15.75" customHeight="1">
      <c r="A484" s="3"/>
      <c r="B484" s="3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</row>
    <row r="485" spans="1:39" ht="15.75" customHeight="1">
      <c r="A485" s="3"/>
      <c r="B485" s="3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</row>
    <row r="486" spans="1:39" ht="15.75" customHeight="1">
      <c r="A486" s="3"/>
      <c r="B486" s="3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</row>
    <row r="487" spans="1:39" ht="15.75" customHeight="1">
      <c r="A487" s="3"/>
      <c r="B487" s="3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</row>
    <row r="488" spans="1:39" ht="15.75" customHeight="1">
      <c r="A488" s="3"/>
      <c r="B488" s="3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</row>
    <row r="489" spans="1:39" ht="15.75" customHeight="1">
      <c r="A489" s="3"/>
      <c r="B489" s="3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</row>
    <row r="490" spans="1:39" ht="15.75" customHeight="1">
      <c r="A490" s="3"/>
      <c r="B490" s="3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</row>
    <row r="491" spans="1:39" ht="15.75" customHeight="1">
      <c r="A491" s="3"/>
      <c r="B491" s="3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</row>
    <row r="492" spans="1:39" ht="15.75" customHeight="1">
      <c r="A492" s="3"/>
      <c r="B492" s="3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</row>
    <row r="493" spans="1:39" ht="15.75" customHeight="1">
      <c r="A493" s="3"/>
      <c r="B493" s="3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</row>
    <row r="494" spans="1:39" ht="15.75" customHeight="1">
      <c r="A494" s="3"/>
      <c r="B494" s="3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</row>
    <row r="495" spans="1:39" ht="15.75" customHeight="1">
      <c r="A495" s="3"/>
      <c r="B495" s="3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</row>
    <row r="496" spans="1:39" ht="15.75" customHeight="1">
      <c r="A496" s="3"/>
      <c r="B496" s="3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</row>
    <row r="497" spans="1:39" ht="15.75" customHeight="1">
      <c r="A497" s="3"/>
      <c r="B497" s="3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</row>
    <row r="498" spans="1:39" ht="15.75" customHeight="1">
      <c r="A498" s="3"/>
      <c r="B498" s="3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</row>
    <row r="499" spans="1:39" ht="15.75" customHeight="1">
      <c r="A499" s="3"/>
      <c r="B499" s="3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</row>
    <row r="500" spans="1:39" ht="15.75" customHeight="1">
      <c r="A500" s="3"/>
      <c r="B500" s="3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</row>
    <row r="501" spans="1:39" ht="15.75" customHeight="1">
      <c r="A501" s="3"/>
      <c r="B501" s="3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</row>
    <row r="502" spans="1:39" ht="15.75" customHeight="1">
      <c r="A502" s="3"/>
      <c r="B502" s="3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</row>
    <row r="503" spans="1:39" ht="15.75" customHeight="1">
      <c r="A503" s="3"/>
      <c r="B503" s="3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</row>
    <row r="504" spans="1:39" ht="15.75" customHeight="1">
      <c r="A504" s="3"/>
      <c r="B504" s="3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</row>
    <row r="505" spans="1:39" ht="15.75" customHeight="1">
      <c r="A505" s="3"/>
      <c r="B505" s="3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</row>
    <row r="506" spans="1:39" ht="15.75" customHeight="1">
      <c r="A506" s="3"/>
      <c r="B506" s="3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</row>
    <row r="507" spans="1:39" ht="15.75" customHeight="1">
      <c r="A507" s="3"/>
      <c r="B507" s="3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</row>
    <row r="508" spans="1:39" ht="15.75" customHeight="1">
      <c r="A508" s="3"/>
      <c r="B508" s="3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</row>
    <row r="509" spans="1:39" ht="15.75" customHeight="1">
      <c r="A509" s="3"/>
      <c r="B509" s="3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</row>
    <row r="510" spans="1:39" ht="15.75" customHeight="1">
      <c r="A510" s="3"/>
      <c r="B510" s="3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</row>
    <row r="511" spans="1:39" ht="15.75" customHeight="1">
      <c r="A511" s="3"/>
      <c r="B511" s="3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</row>
    <row r="512" spans="1:39" ht="15.75" customHeight="1">
      <c r="A512" s="3"/>
      <c r="B512" s="3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</row>
    <row r="513" spans="1:39" ht="15.75" customHeight="1">
      <c r="A513" s="3"/>
      <c r="B513" s="3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</row>
    <row r="514" spans="1:39" ht="15.75" customHeight="1">
      <c r="A514" s="3"/>
      <c r="B514" s="3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</row>
    <row r="515" spans="1:39" ht="15.75" customHeight="1">
      <c r="A515" s="3"/>
      <c r="B515" s="3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</row>
    <row r="516" spans="1:39" ht="15.75" customHeight="1">
      <c r="A516" s="3"/>
      <c r="B516" s="3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</row>
    <row r="517" spans="1:39" ht="15.75" customHeight="1">
      <c r="A517" s="3"/>
      <c r="B517" s="3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</row>
    <row r="518" spans="1:39" ht="15.75" customHeight="1">
      <c r="A518" s="3"/>
      <c r="B518" s="3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</row>
    <row r="519" spans="1:39" ht="15.75" customHeight="1">
      <c r="A519" s="3"/>
      <c r="B519" s="3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</row>
    <row r="520" spans="1:39" ht="15.75" customHeight="1">
      <c r="A520" s="3"/>
      <c r="B520" s="3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</row>
    <row r="521" spans="1:39" ht="15.75" customHeight="1">
      <c r="A521" s="3"/>
      <c r="B521" s="3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</row>
    <row r="522" spans="1:39" ht="15.75" customHeight="1">
      <c r="A522" s="3"/>
      <c r="B522" s="3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</row>
    <row r="523" spans="1:39" ht="15.75" customHeight="1">
      <c r="A523" s="3"/>
      <c r="B523" s="3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</row>
    <row r="524" spans="1:39" ht="15.75" customHeight="1">
      <c r="A524" s="3"/>
      <c r="B524" s="3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</row>
    <row r="525" spans="1:39" ht="15.75" customHeight="1">
      <c r="A525" s="3"/>
      <c r="B525" s="3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</row>
    <row r="526" spans="1:39" ht="15.75" customHeight="1">
      <c r="A526" s="3"/>
      <c r="B526" s="3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</row>
    <row r="527" spans="1:39" ht="15.75" customHeight="1">
      <c r="A527" s="3"/>
      <c r="B527" s="3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</row>
    <row r="528" spans="1:39" ht="15.75" customHeight="1">
      <c r="A528" s="3"/>
      <c r="B528" s="3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</row>
    <row r="529" spans="1:39" ht="15.75" customHeight="1">
      <c r="A529" s="3"/>
      <c r="B529" s="3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</row>
    <row r="530" spans="1:39" ht="15.75" customHeight="1">
      <c r="A530" s="3"/>
      <c r="B530" s="3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</row>
    <row r="531" spans="1:39" ht="15.75" customHeight="1">
      <c r="A531" s="3"/>
      <c r="B531" s="3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</row>
    <row r="532" spans="1:39" ht="15.75" customHeight="1">
      <c r="A532" s="3"/>
      <c r="B532" s="3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</row>
    <row r="533" spans="1:39" ht="15.75" customHeight="1">
      <c r="A533" s="3"/>
      <c r="B533" s="3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</row>
    <row r="534" spans="1:39" ht="15.75" customHeight="1">
      <c r="A534" s="3"/>
      <c r="B534" s="3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</row>
    <row r="535" spans="1:39" ht="15.75" customHeight="1">
      <c r="A535" s="3"/>
      <c r="B535" s="3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</row>
    <row r="536" spans="1:39" ht="15.75" customHeight="1">
      <c r="A536" s="3"/>
      <c r="B536" s="3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</row>
    <row r="537" spans="1:39" ht="15.75" customHeight="1">
      <c r="A537" s="3"/>
      <c r="B537" s="3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</row>
    <row r="538" spans="1:39" ht="15.75" customHeight="1">
      <c r="A538" s="3"/>
      <c r="B538" s="3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</row>
    <row r="539" spans="1:39" ht="15.75" customHeight="1">
      <c r="A539" s="3"/>
      <c r="B539" s="3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</row>
    <row r="540" spans="1:39" ht="15.75" customHeight="1">
      <c r="A540" s="3"/>
      <c r="B540" s="3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</row>
    <row r="541" spans="1:39" ht="15.75" customHeight="1">
      <c r="A541" s="3"/>
      <c r="B541" s="3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</row>
    <row r="542" spans="1:39" ht="15.75" customHeight="1">
      <c r="A542" s="3"/>
      <c r="B542" s="3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</row>
    <row r="543" spans="1:39" ht="15.75" customHeight="1">
      <c r="A543" s="3"/>
      <c r="B543" s="3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</row>
    <row r="544" spans="1:39" ht="15.75" customHeight="1">
      <c r="A544" s="3"/>
      <c r="B544" s="3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</row>
    <row r="545" spans="1:39" ht="15.75" customHeight="1">
      <c r="A545" s="3"/>
      <c r="B545" s="3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</row>
    <row r="546" spans="1:39" ht="15.75" customHeight="1">
      <c r="A546" s="3"/>
      <c r="B546" s="3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</row>
    <row r="547" spans="1:39" ht="15.75" customHeight="1">
      <c r="A547" s="3"/>
      <c r="B547" s="3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</row>
    <row r="548" spans="1:39" ht="15.75" customHeight="1">
      <c r="A548" s="3"/>
      <c r="B548" s="3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</row>
    <row r="549" spans="1:39" ht="15.75" customHeight="1">
      <c r="A549" s="3"/>
      <c r="B549" s="3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</row>
    <row r="550" spans="1:39" ht="15.75" customHeight="1">
      <c r="A550" s="3"/>
      <c r="B550" s="3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</row>
    <row r="551" spans="1:39" ht="15.75" customHeight="1">
      <c r="A551" s="3"/>
      <c r="B551" s="3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</row>
    <row r="552" spans="1:39" ht="15.75" customHeight="1">
      <c r="A552" s="3"/>
      <c r="B552" s="3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</row>
    <row r="553" spans="1:39" ht="15.75" customHeight="1">
      <c r="A553" s="3"/>
      <c r="B553" s="3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</row>
    <row r="554" spans="1:39" ht="15.75" customHeight="1">
      <c r="A554" s="3"/>
      <c r="B554" s="3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</row>
    <row r="555" spans="1:39" ht="15.75" customHeight="1">
      <c r="A555" s="3"/>
      <c r="B555" s="3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</row>
    <row r="556" spans="1:39" ht="15.75" customHeight="1">
      <c r="A556" s="3"/>
      <c r="B556" s="3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</row>
    <row r="557" spans="1:39" ht="15.75" customHeight="1">
      <c r="A557" s="3"/>
      <c r="B557" s="3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</row>
    <row r="558" spans="1:39" ht="15.75" customHeight="1">
      <c r="A558" s="3"/>
      <c r="B558" s="3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</row>
    <row r="559" spans="1:39" ht="15.75" customHeight="1">
      <c r="A559" s="3"/>
      <c r="B559" s="3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</row>
    <row r="560" spans="1:39" ht="15.75" customHeight="1">
      <c r="A560" s="3"/>
      <c r="B560" s="3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</row>
    <row r="561" spans="1:39" ht="15.75" customHeight="1">
      <c r="A561" s="3"/>
      <c r="B561" s="3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</row>
    <row r="562" spans="1:39" ht="15.75" customHeight="1">
      <c r="A562" s="3"/>
      <c r="B562" s="3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</row>
    <row r="563" spans="1:39" ht="15.75" customHeight="1">
      <c r="A563" s="3"/>
      <c r="B563" s="3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</row>
    <row r="564" spans="1:39" ht="15.75" customHeight="1">
      <c r="A564" s="3"/>
      <c r="B564" s="3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</row>
    <row r="565" spans="1:39" ht="15.75" customHeight="1">
      <c r="A565" s="3"/>
      <c r="B565" s="3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</row>
    <row r="566" spans="1:39" ht="15.75" customHeight="1">
      <c r="A566" s="3"/>
      <c r="B566" s="3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</row>
    <row r="567" spans="1:39" ht="15.75" customHeight="1">
      <c r="A567" s="3"/>
      <c r="B567" s="3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</row>
    <row r="568" spans="1:39" ht="15.75" customHeight="1">
      <c r="A568" s="3"/>
      <c r="B568" s="3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</row>
    <row r="569" spans="1:39" ht="15.75" customHeight="1">
      <c r="A569" s="3"/>
      <c r="B569" s="3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</row>
    <row r="570" spans="1:39" ht="15.75" customHeight="1">
      <c r="A570" s="3"/>
      <c r="B570" s="3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</row>
    <row r="571" spans="1:39" ht="15.75" customHeight="1">
      <c r="A571" s="3"/>
      <c r="B571" s="3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</row>
    <row r="572" spans="1:39" ht="15.75" customHeight="1">
      <c r="A572" s="3"/>
      <c r="B572" s="3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</row>
    <row r="573" spans="1:39" ht="15.75" customHeight="1">
      <c r="A573" s="3"/>
      <c r="B573" s="3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</row>
    <row r="574" spans="1:39" ht="15.75" customHeight="1">
      <c r="A574" s="3"/>
      <c r="B574" s="3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</row>
    <row r="575" spans="1:39" ht="15.75" customHeight="1">
      <c r="A575" s="3"/>
      <c r="B575" s="3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</row>
    <row r="576" spans="1:39" ht="15.75" customHeight="1">
      <c r="A576" s="3"/>
      <c r="B576" s="3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</row>
    <row r="577" spans="1:39" ht="15.75" customHeight="1">
      <c r="A577" s="3"/>
      <c r="B577" s="3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</row>
    <row r="578" spans="1:39" ht="15.75" customHeight="1">
      <c r="A578" s="3"/>
      <c r="B578" s="3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</row>
    <row r="579" spans="1:39" ht="15.75" customHeight="1">
      <c r="A579" s="3"/>
      <c r="B579" s="3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</row>
    <row r="580" spans="1:39" ht="15.75" customHeight="1">
      <c r="A580" s="3"/>
      <c r="B580" s="3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</row>
    <row r="581" spans="1:39" ht="15.75" customHeight="1">
      <c r="A581" s="3"/>
      <c r="B581" s="3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</row>
    <row r="582" spans="1:39" ht="15.75" customHeight="1">
      <c r="A582" s="3"/>
      <c r="B582" s="3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</row>
    <row r="583" spans="1:39" ht="15.75" customHeight="1">
      <c r="A583" s="3"/>
      <c r="B583" s="3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</row>
    <row r="584" spans="1:39" ht="15.75" customHeight="1">
      <c r="A584" s="3"/>
      <c r="B584" s="3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</row>
    <row r="585" spans="1:39" ht="15.75" customHeight="1">
      <c r="A585" s="3"/>
      <c r="B585" s="3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</row>
    <row r="586" spans="1:39" ht="15.75" customHeight="1">
      <c r="A586" s="3"/>
      <c r="B586" s="3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</row>
    <row r="587" spans="1:39" ht="15.75" customHeight="1">
      <c r="A587" s="3"/>
      <c r="B587" s="3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</row>
    <row r="588" spans="1:39" ht="15.75" customHeight="1">
      <c r="A588" s="3"/>
      <c r="B588" s="3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</row>
    <row r="589" spans="1:39" ht="15.75" customHeight="1">
      <c r="A589" s="3"/>
      <c r="B589" s="3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</row>
    <row r="590" spans="1:39" ht="15.75" customHeight="1">
      <c r="A590" s="3"/>
      <c r="B590" s="3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</row>
    <row r="591" spans="1:39" ht="15.75" customHeight="1">
      <c r="A591" s="3"/>
      <c r="B591" s="3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</row>
    <row r="592" spans="1:39" ht="15.75" customHeight="1">
      <c r="A592" s="3"/>
      <c r="B592" s="3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</row>
    <row r="593" spans="1:39" ht="15.75" customHeight="1">
      <c r="A593" s="3"/>
      <c r="B593" s="3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</row>
    <row r="594" spans="1:39" ht="15.75" customHeight="1">
      <c r="A594" s="3"/>
      <c r="B594" s="3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</row>
    <row r="595" spans="1:39" ht="15.75" customHeight="1">
      <c r="A595" s="3"/>
      <c r="B595" s="3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</row>
    <row r="596" spans="1:39" ht="15.75" customHeight="1">
      <c r="A596" s="3"/>
      <c r="B596" s="3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</row>
    <row r="597" spans="1:39" ht="15.75" customHeight="1">
      <c r="A597" s="3"/>
      <c r="B597" s="3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</row>
    <row r="598" spans="1:39" ht="15.75" customHeight="1">
      <c r="A598" s="3"/>
      <c r="B598" s="3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</row>
    <row r="599" spans="1:39" ht="15.75" customHeight="1">
      <c r="A599" s="3"/>
      <c r="B599" s="3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</row>
    <row r="600" spans="1:39" ht="15.75" customHeight="1">
      <c r="A600" s="3"/>
      <c r="B600" s="3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</row>
    <row r="601" spans="1:39" ht="15.75" customHeight="1">
      <c r="A601" s="3"/>
      <c r="B601" s="3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</row>
    <row r="602" spans="1:39" ht="15.75" customHeight="1">
      <c r="A602" s="3"/>
      <c r="B602" s="3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</row>
    <row r="603" spans="1:39" ht="15.75" customHeight="1">
      <c r="A603" s="3"/>
      <c r="B603" s="3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</row>
    <row r="604" spans="1:39" ht="15.75" customHeight="1">
      <c r="A604" s="3"/>
      <c r="B604" s="3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</row>
    <row r="605" spans="1:39" ht="15.75" customHeight="1">
      <c r="A605" s="3"/>
      <c r="B605" s="3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</row>
    <row r="606" spans="1:39" ht="15.75" customHeight="1">
      <c r="A606" s="3"/>
      <c r="B606" s="3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</row>
    <row r="607" spans="1:39" ht="15.75" customHeight="1">
      <c r="A607" s="3"/>
      <c r="B607" s="3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</row>
    <row r="608" spans="1:39" ht="15.75" customHeight="1">
      <c r="A608" s="3"/>
      <c r="B608" s="3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</row>
    <row r="609" spans="1:39" ht="15.75" customHeight="1">
      <c r="A609" s="3"/>
      <c r="B609" s="3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</row>
    <row r="610" spans="1:39" ht="15.75" customHeight="1">
      <c r="A610" s="3"/>
      <c r="B610" s="3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</row>
    <row r="611" spans="1:39" ht="15.75" customHeight="1">
      <c r="A611" s="3"/>
      <c r="B611" s="3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</row>
    <row r="612" spans="1:39" ht="15.75" customHeight="1">
      <c r="A612" s="3"/>
      <c r="B612" s="3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</row>
    <row r="613" spans="1:39" ht="15.75" customHeight="1">
      <c r="A613" s="3"/>
      <c r="B613" s="3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</row>
    <row r="614" spans="1:39" ht="15.75" customHeight="1">
      <c r="A614" s="3"/>
      <c r="B614" s="3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</row>
    <row r="615" spans="1:39" ht="15.75" customHeight="1">
      <c r="A615" s="3"/>
      <c r="B615" s="3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</row>
    <row r="616" spans="1:39" ht="15.75" customHeight="1">
      <c r="A616" s="3"/>
      <c r="B616" s="3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</row>
    <row r="617" spans="1:39" ht="15.75" customHeight="1">
      <c r="A617" s="3"/>
      <c r="B617" s="3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</row>
    <row r="618" spans="1:39" ht="15.75" customHeight="1">
      <c r="A618" s="3"/>
      <c r="B618" s="3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</row>
    <row r="619" spans="1:39" ht="15.75" customHeight="1">
      <c r="A619" s="3"/>
      <c r="B619" s="3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</row>
    <row r="620" spans="1:39" ht="15.75" customHeight="1">
      <c r="A620" s="3"/>
      <c r="B620" s="3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</row>
    <row r="621" spans="1:39" ht="15.75" customHeight="1">
      <c r="A621" s="3"/>
      <c r="B621" s="3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</row>
    <row r="622" spans="1:39" ht="15.75" customHeight="1">
      <c r="A622" s="3"/>
      <c r="B622" s="3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</row>
    <row r="623" spans="1:39" ht="15.75" customHeight="1">
      <c r="A623" s="3"/>
      <c r="B623" s="3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</row>
    <row r="624" spans="1:39" ht="15.75" customHeight="1">
      <c r="A624" s="3"/>
      <c r="B624" s="3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</row>
    <row r="625" spans="1:39" ht="15.75" customHeight="1">
      <c r="A625" s="3"/>
      <c r="B625" s="3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</row>
    <row r="626" spans="1:39" ht="15.75" customHeight="1">
      <c r="A626" s="3"/>
      <c r="B626" s="3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</row>
    <row r="627" spans="1:39" ht="15.75" customHeight="1">
      <c r="A627" s="3"/>
      <c r="B627" s="3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</row>
    <row r="628" spans="1:39" ht="15.75" customHeight="1">
      <c r="A628" s="3"/>
      <c r="B628" s="3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</row>
    <row r="629" spans="1:39" ht="15.75" customHeight="1">
      <c r="A629" s="3"/>
      <c r="B629" s="3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</row>
    <row r="630" spans="1:39" ht="15.75" customHeight="1">
      <c r="A630" s="3"/>
      <c r="B630" s="3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</row>
    <row r="631" spans="1:39" ht="15.75" customHeight="1">
      <c r="A631" s="3"/>
      <c r="B631" s="3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</row>
    <row r="632" spans="1:39" ht="15.75" customHeight="1">
      <c r="A632" s="3"/>
      <c r="B632" s="3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</row>
    <row r="633" spans="1:39" ht="15.75" customHeight="1">
      <c r="A633" s="3"/>
      <c r="B633" s="3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</row>
    <row r="634" spans="1:39" ht="15.75" customHeight="1">
      <c r="A634" s="3"/>
      <c r="B634" s="3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</row>
    <row r="635" spans="1:39" ht="15.75" customHeight="1">
      <c r="A635" s="3"/>
      <c r="B635" s="3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</row>
    <row r="636" spans="1:39" ht="15.75" customHeight="1">
      <c r="A636" s="3"/>
      <c r="B636" s="3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</row>
    <row r="637" spans="1:39" ht="15.75" customHeight="1">
      <c r="A637" s="3"/>
      <c r="B637" s="3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</row>
    <row r="638" spans="1:39" ht="15.75" customHeight="1">
      <c r="A638" s="3"/>
      <c r="B638" s="3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</row>
    <row r="639" spans="1:39" ht="15.75" customHeight="1">
      <c r="A639" s="3"/>
      <c r="B639" s="3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</row>
    <row r="640" spans="1:39" ht="15.75" customHeight="1">
      <c r="A640" s="3"/>
      <c r="B640" s="3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</row>
    <row r="641" spans="1:39" ht="15.75" customHeight="1">
      <c r="A641" s="3"/>
      <c r="B641" s="3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</row>
    <row r="642" spans="1:39" ht="15.75" customHeight="1">
      <c r="A642" s="3"/>
      <c r="B642" s="3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</row>
    <row r="643" spans="1:39" ht="15.75" customHeight="1">
      <c r="A643" s="3"/>
      <c r="B643" s="3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</row>
    <row r="644" spans="1:39" ht="15.75" customHeight="1">
      <c r="A644" s="3"/>
      <c r="B644" s="3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</row>
    <row r="645" spans="1:39" ht="15.75" customHeight="1">
      <c r="A645" s="3"/>
      <c r="B645" s="3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</row>
    <row r="646" spans="1:39" ht="15.75" customHeight="1">
      <c r="A646" s="3"/>
      <c r="B646" s="3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</row>
    <row r="647" spans="1:39" ht="15.75" customHeight="1">
      <c r="A647" s="3"/>
      <c r="B647" s="3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</row>
    <row r="648" spans="1:39" ht="15.75" customHeight="1">
      <c r="A648" s="3"/>
      <c r="B648" s="3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</row>
    <row r="649" spans="1:39" ht="15.75" customHeight="1">
      <c r="A649" s="3"/>
      <c r="B649" s="3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</row>
    <row r="650" spans="1:39" ht="15.75" customHeight="1">
      <c r="A650" s="3"/>
      <c r="B650" s="3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</row>
    <row r="651" spans="1:39" ht="15.75" customHeight="1">
      <c r="A651" s="3"/>
      <c r="B651" s="3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</row>
    <row r="652" spans="1:39" ht="15.75" customHeight="1">
      <c r="A652" s="3"/>
      <c r="B652" s="3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</row>
    <row r="653" spans="1:39" ht="15.75" customHeight="1">
      <c r="A653" s="3"/>
      <c r="B653" s="3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</row>
    <row r="654" spans="1:39" ht="15.75" customHeight="1">
      <c r="A654" s="3"/>
      <c r="B654" s="3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</row>
    <row r="655" spans="1:39" ht="15.75" customHeight="1">
      <c r="A655" s="3"/>
      <c r="B655" s="3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</row>
    <row r="656" spans="1:39" ht="15.75" customHeight="1">
      <c r="A656" s="3"/>
      <c r="B656" s="3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</row>
    <row r="657" spans="1:39" ht="15.75" customHeight="1">
      <c r="A657" s="3"/>
      <c r="B657" s="3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</row>
    <row r="658" spans="1:39" ht="15.75" customHeight="1">
      <c r="A658" s="3"/>
      <c r="B658" s="3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</row>
    <row r="659" spans="1:39" ht="15.75" customHeight="1">
      <c r="A659" s="3"/>
      <c r="B659" s="3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</row>
    <row r="660" spans="1:39" ht="15.75" customHeight="1">
      <c r="A660" s="3"/>
      <c r="B660" s="3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</row>
    <row r="661" spans="1:39" ht="15.75" customHeight="1">
      <c r="A661" s="3"/>
      <c r="B661" s="3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</row>
    <row r="662" spans="1:39" ht="15.75" customHeight="1">
      <c r="A662" s="3"/>
      <c r="B662" s="3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</row>
    <row r="663" spans="1:39" ht="15.75" customHeight="1">
      <c r="A663" s="3"/>
      <c r="B663" s="3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</row>
    <row r="664" spans="1:39" ht="15.75" customHeight="1">
      <c r="A664" s="3"/>
      <c r="B664" s="3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</row>
    <row r="665" spans="1:39" ht="15.75" customHeight="1">
      <c r="A665" s="3"/>
      <c r="B665" s="3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</row>
    <row r="666" spans="1:39" ht="15.75" customHeight="1">
      <c r="A666" s="3"/>
      <c r="B666" s="3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</row>
    <row r="667" spans="1:39" ht="15.75" customHeight="1">
      <c r="A667" s="3"/>
      <c r="B667" s="3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</row>
    <row r="668" spans="1:39" ht="15.75" customHeight="1">
      <c r="A668" s="3"/>
      <c r="B668" s="3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</row>
    <row r="669" spans="1:39" ht="15.75" customHeight="1">
      <c r="A669" s="3"/>
      <c r="B669" s="3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</row>
    <row r="670" spans="1:39" ht="15.75" customHeight="1">
      <c r="A670" s="3"/>
      <c r="B670" s="3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</row>
    <row r="671" spans="1:39" ht="15.75" customHeight="1">
      <c r="A671" s="3"/>
      <c r="B671" s="3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</row>
    <row r="672" spans="1:39" ht="15.75" customHeight="1">
      <c r="A672" s="3"/>
      <c r="B672" s="3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</row>
    <row r="673" spans="1:39" ht="15.75" customHeight="1">
      <c r="A673" s="3"/>
      <c r="B673" s="3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</row>
    <row r="674" spans="1:39" ht="15.75" customHeight="1">
      <c r="A674" s="3"/>
      <c r="B674" s="3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</row>
    <row r="675" spans="1:39" ht="15.75" customHeight="1">
      <c r="A675" s="3"/>
      <c r="B675" s="3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</row>
    <row r="676" spans="1:39" ht="15.75" customHeight="1">
      <c r="A676" s="3"/>
      <c r="B676" s="3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</row>
    <row r="677" spans="1:39" ht="15.75" customHeight="1">
      <c r="A677" s="3"/>
      <c r="B677" s="3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</row>
    <row r="678" spans="1:39" ht="15.75" customHeight="1">
      <c r="A678" s="3"/>
      <c r="B678" s="3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</row>
    <row r="679" spans="1:39" ht="15.75" customHeight="1">
      <c r="A679" s="3"/>
      <c r="B679" s="3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</row>
    <row r="680" spans="1:39" ht="15.75" customHeight="1">
      <c r="A680" s="3"/>
      <c r="B680" s="3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</row>
    <row r="681" spans="1:39" ht="15.75" customHeight="1">
      <c r="A681" s="3"/>
      <c r="B681" s="3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</row>
    <row r="682" spans="1:39" ht="15.75" customHeight="1">
      <c r="A682" s="3"/>
      <c r="B682" s="3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</row>
    <row r="683" spans="1:39" ht="15.75" customHeight="1">
      <c r="A683" s="3"/>
      <c r="B683" s="3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</row>
    <row r="684" spans="1:39" ht="15.75" customHeight="1">
      <c r="A684" s="3"/>
      <c r="B684" s="3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</row>
    <row r="685" spans="1:39" ht="15.75" customHeight="1">
      <c r="A685" s="3"/>
      <c r="B685" s="3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</row>
    <row r="686" spans="1:39" ht="15.75" customHeight="1">
      <c r="A686" s="3"/>
      <c r="B686" s="3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</row>
    <row r="687" spans="1:39" ht="15.75" customHeight="1">
      <c r="A687" s="3"/>
      <c r="B687" s="3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</row>
    <row r="688" spans="1:39" ht="15.75" customHeight="1">
      <c r="A688" s="3"/>
      <c r="B688" s="3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</row>
    <row r="689" spans="1:39" ht="15.75" customHeight="1">
      <c r="A689" s="3"/>
      <c r="B689" s="3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</row>
    <row r="690" spans="1:39" ht="15.75" customHeight="1">
      <c r="A690" s="3"/>
      <c r="B690" s="3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</row>
    <row r="691" spans="1:39" ht="15.75" customHeight="1">
      <c r="A691" s="3"/>
      <c r="B691" s="3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</row>
    <row r="692" spans="1:39" ht="15.75" customHeight="1">
      <c r="A692" s="3"/>
      <c r="B692" s="3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</row>
    <row r="693" spans="1:39" ht="15.75" customHeight="1">
      <c r="A693" s="3"/>
      <c r="B693" s="3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</row>
    <row r="694" spans="1:39" ht="15.75" customHeight="1">
      <c r="A694" s="3"/>
      <c r="B694" s="3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</row>
    <row r="695" spans="1:39" ht="15.75" customHeight="1">
      <c r="A695" s="3"/>
      <c r="B695" s="3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</row>
    <row r="696" spans="1:39" ht="15.75" customHeight="1">
      <c r="A696" s="3"/>
      <c r="B696" s="3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</row>
    <row r="697" spans="1:39" ht="15.75" customHeight="1">
      <c r="A697" s="3"/>
      <c r="B697" s="3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</row>
    <row r="698" spans="1:39" ht="15.75" customHeight="1">
      <c r="A698" s="3"/>
      <c r="B698" s="3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</row>
    <row r="699" spans="1:39" ht="15.75" customHeight="1">
      <c r="A699" s="3"/>
      <c r="B699" s="3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</row>
    <row r="700" spans="1:39" ht="15.75" customHeight="1">
      <c r="A700" s="3"/>
      <c r="B700" s="3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</row>
    <row r="701" spans="1:39" ht="15.75" customHeight="1">
      <c r="A701" s="3"/>
      <c r="B701" s="3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</row>
    <row r="702" spans="1:39" ht="15.75" customHeight="1">
      <c r="A702" s="3"/>
      <c r="B702" s="3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</row>
    <row r="703" spans="1:39" ht="15.75" customHeight="1">
      <c r="A703" s="3"/>
      <c r="B703" s="3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</row>
    <row r="704" spans="1:39" ht="15.75" customHeight="1">
      <c r="A704" s="3"/>
      <c r="B704" s="3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</row>
    <row r="705" spans="1:39" ht="15.75" customHeight="1">
      <c r="A705" s="3"/>
      <c r="B705" s="3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</row>
    <row r="706" spans="1:39" ht="15.75" customHeight="1">
      <c r="A706" s="3"/>
      <c r="B706" s="3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</row>
    <row r="707" spans="1:39" ht="15.75" customHeight="1">
      <c r="A707" s="3"/>
      <c r="B707" s="3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</row>
    <row r="708" spans="1:39" ht="15.75" customHeight="1">
      <c r="A708" s="3"/>
      <c r="B708" s="3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</row>
    <row r="709" spans="1:39" ht="15.75" customHeight="1">
      <c r="A709" s="3"/>
      <c r="B709" s="3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</row>
    <row r="710" spans="1:39" ht="15.75" customHeight="1">
      <c r="A710" s="3"/>
      <c r="B710" s="3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</row>
    <row r="711" spans="1:39" ht="15.75" customHeight="1">
      <c r="A711" s="3"/>
      <c r="B711" s="3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</row>
    <row r="712" spans="1:39" ht="15.75" customHeight="1">
      <c r="A712" s="3"/>
      <c r="B712" s="3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</row>
    <row r="713" spans="1:39" ht="15.75" customHeight="1">
      <c r="A713" s="3"/>
      <c r="B713" s="3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</row>
    <row r="714" spans="1:39" ht="15.75" customHeight="1">
      <c r="A714" s="3"/>
      <c r="B714" s="3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</row>
    <row r="715" spans="1:39" ht="15.75" customHeight="1">
      <c r="A715" s="3"/>
      <c r="B715" s="3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</row>
    <row r="716" spans="1:39" ht="15.75" customHeight="1">
      <c r="A716" s="3"/>
      <c r="B716" s="3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</row>
    <row r="717" spans="1:39" ht="15.75" customHeight="1">
      <c r="A717" s="3"/>
      <c r="B717" s="3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</row>
    <row r="718" spans="1:39" ht="15.75" customHeight="1">
      <c r="A718" s="3"/>
      <c r="B718" s="3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</row>
    <row r="719" spans="1:39" ht="15.75" customHeight="1">
      <c r="A719" s="3"/>
      <c r="B719" s="3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</row>
    <row r="720" spans="1:39" ht="15.75" customHeight="1">
      <c r="A720" s="3"/>
      <c r="B720" s="3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</row>
    <row r="721" spans="1:39" ht="15.75" customHeight="1">
      <c r="A721" s="3"/>
      <c r="B721" s="3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</row>
    <row r="722" spans="1:39" ht="15.75" customHeight="1">
      <c r="A722" s="3"/>
      <c r="B722" s="3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</row>
    <row r="723" spans="1:39" ht="15.75" customHeight="1">
      <c r="A723" s="3"/>
      <c r="B723" s="3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</row>
    <row r="724" spans="1:39" ht="15.75" customHeight="1">
      <c r="A724" s="3"/>
      <c r="B724" s="3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</row>
    <row r="725" spans="1:39" ht="15.75" customHeight="1">
      <c r="A725" s="3"/>
      <c r="B725" s="3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</row>
    <row r="726" spans="1:39" ht="15.75" customHeight="1">
      <c r="A726" s="3"/>
      <c r="B726" s="3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</row>
    <row r="727" spans="1:39" ht="15.75" customHeight="1">
      <c r="A727" s="3"/>
      <c r="B727" s="3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</row>
    <row r="728" spans="1:39" ht="15.75" customHeight="1">
      <c r="A728" s="3"/>
      <c r="B728" s="3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</row>
    <row r="729" spans="1:39" ht="15.75" customHeight="1">
      <c r="A729" s="3"/>
      <c r="B729" s="3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</row>
    <row r="730" spans="1:39" ht="15.75" customHeight="1">
      <c r="A730" s="3"/>
      <c r="B730" s="3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</row>
    <row r="731" spans="1:39" ht="15.75" customHeight="1">
      <c r="A731" s="3"/>
      <c r="B731" s="3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</row>
    <row r="732" spans="1:39" ht="15.75" customHeight="1">
      <c r="A732" s="3"/>
      <c r="B732" s="3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</row>
    <row r="733" spans="1:39" ht="15.75" customHeight="1">
      <c r="A733" s="3"/>
      <c r="B733" s="3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</row>
    <row r="734" spans="1:39" ht="15.75" customHeight="1">
      <c r="A734" s="3"/>
      <c r="B734" s="3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</row>
    <row r="735" spans="1:39" ht="15.75" customHeight="1">
      <c r="A735" s="3"/>
      <c r="B735" s="3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</row>
    <row r="736" spans="1:39" ht="15.75" customHeight="1">
      <c r="A736" s="3"/>
      <c r="B736" s="3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</row>
    <row r="737" spans="1:39" ht="15.75" customHeight="1">
      <c r="A737" s="3"/>
      <c r="B737" s="3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</row>
    <row r="738" spans="1:39" ht="15.75" customHeight="1">
      <c r="A738" s="3"/>
      <c r="B738" s="3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</row>
    <row r="739" spans="1:39" ht="15.75" customHeight="1">
      <c r="A739" s="3"/>
      <c r="B739" s="3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</row>
    <row r="740" spans="1:39" ht="15.75" customHeight="1">
      <c r="A740" s="3"/>
      <c r="B740" s="3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</row>
    <row r="741" spans="1:39" ht="15.75" customHeight="1">
      <c r="A741" s="3"/>
      <c r="B741" s="3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</row>
    <row r="742" spans="1:39" ht="15.75" customHeight="1">
      <c r="A742" s="3"/>
      <c r="B742" s="3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</row>
    <row r="743" spans="1:39" ht="15.75" customHeight="1">
      <c r="A743" s="3"/>
      <c r="B743" s="3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</row>
    <row r="744" spans="1:39" ht="15.75" customHeight="1">
      <c r="A744" s="3"/>
      <c r="B744" s="3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</row>
    <row r="745" spans="1:39" ht="15.75" customHeight="1">
      <c r="A745" s="3"/>
      <c r="B745" s="3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</row>
    <row r="746" spans="1:39" ht="15.75" customHeight="1">
      <c r="A746" s="3"/>
      <c r="B746" s="3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</row>
    <row r="747" spans="1:39" ht="15.75" customHeight="1">
      <c r="A747" s="3"/>
      <c r="B747" s="3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</row>
    <row r="748" spans="1:39" ht="15.75" customHeight="1">
      <c r="A748" s="3"/>
      <c r="B748" s="3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</row>
    <row r="749" spans="1:39" ht="15.75" customHeight="1">
      <c r="A749" s="3"/>
      <c r="B749" s="3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</row>
    <row r="750" spans="1:39" ht="15.75" customHeight="1">
      <c r="A750" s="3"/>
      <c r="B750" s="3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</row>
    <row r="751" spans="1:39" ht="15.75" customHeight="1">
      <c r="A751" s="3"/>
      <c r="B751" s="3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</row>
    <row r="752" spans="1:39" ht="15.75" customHeight="1">
      <c r="A752" s="3"/>
      <c r="B752" s="3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</row>
    <row r="753" spans="1:39" ht="15.75" customHeight="1">
      <c r="A753" s="3"/>
      <c r="B753" s="3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</row>
    <row r="754" spans="1:39" ht="15.75" customHeight="1">
      <c r="A754" s="3"/>
      <c r="B754" s="3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</row>
    <row r="755" spans="1:39" ht="15.75" customHeight="1">
      <c r="A755" s="3"/>
      <c r="B755" s="3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</row>
    <row r="756" spans="1:39" ht="15.75" customHeight="1">
      <c r="A756" s="3"/>
      <c r="B756" s="3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</row>
    <row r="757" spans="1:39" ht="15.75" customHeight="1">
      <c r="A757" s="3"/>
      <c r="B757" s="3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</row>
    <row r="758" spans="1:39" ht="15.75" customHeight="1">
      <c r="A758" s="3"/>
      <c r="B758" s="3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</row>
    <row r="759" spans="1:39" ht="15.75" customHeight="1">
      <c r="A759" s="3"/>
      <c r="B759" s="3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</row>
    <row r="760" spans="1:39" ht="15.75" customHeight="1">
      <c r="A760" s="3"/>
      <c r="B760" s="3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</row>
    <row r="761" spans="1:39" ht="15.75" customHeight="1">
      <c r="A761" s="3"/>
      <c r="B761" s="3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</row>
    <row r="762" spans="1:39" ht="15.75" customHeight="1">
      <c r="A762" s="3"/>
      <c r="B762" s="3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</row>
    <row r="763" spans="1:39" ht="15.75" customHeight="1">
      <c r="A763" s="3"/>
      <c r="B763" s="3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</row>
    <row r="764" spans="1:39" ht="15.75" customHeight="1">
      <c r="A764" s="3"/>
      <c r="B764" s="3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</row>
    <row r="765" spans="1:39" ht="15.75" customHeight="1">
      <c r="A765" s="3"/>
      <c r="B765" s="3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</row>
    <row r="766" spans="1:39" ht="15.75" customHeight="1">
      <c r="A766" s="3"/>
      <c r="B766" s="3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</row>
    <row r="767" spans="1:39" ht="15.75" customHeight="1">
      <c r="A767" s="3"/>
      <c r="B767" s="3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</row>
    <row r="768" spans="1:39" ht="15.75" customHeight="1">
      <c r="A768" s="3"/>
      <c r="B768" s="3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</row>
    <row r="769" spans="1:39" ht="15.75" customHeight="1">
      <c r="A769" s="3"/>
      <c r="B769" s="3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</row>
    <row r="770" spans="1:39" ht="15.75" customHeight="1">
      <c r="A770" s="3"/>
      <c r="B770" s="3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</row>
    <row r="771" spans="1:39" ht="15.75" customHeight="1">
      <c r="A771" s="3"/>
      <c r="B771" s="3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</row>
    <row r="772" spans="1:39" ht="15.75" customHeight="1">
      <c r="A772" s="3"/>
      <c r="B772" s="3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</row>
    <row r="773" spans="1:39" ht="15.75" customHeight="1">
      <c r="A773" s="3"/>
      <c r="B773" s="3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</row>
    <row r="774" spans="1:39" ht="15.75" customHeight="1">
      <c r="A774" s="3"/>
      <c r="B774" s="3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</row>
    <row r="775" spans="1:39" ht="15.75" customHeight="1">
      <c r="A775" s="3"/>
      <c r="B775" s="3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</row>
    <row r="776" spans="1:39" ht="15.75" customHeight="1">
      <c r="A776" s="3"/>
      <c r="B776" s="3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</row>
    <row r="777" spans="1:39" ht="15.75" customHeight="1">
      <c r="A777" s="3"/>
      <c r="B777" s="3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</row>
    <row r="778" spans="1:39" ht="15.75" customHeight="1">
      <c r="A778" s="3"/>
      <c r="B778" s="3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</row>
    <row r="779" spans="1:39" ht="15.75" customHeight="1">
      <c r="A779" s="3"/>
      <c r="B779" s="3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</row>
    <row r="780" spans="1:39" ht="15.75" customHeight="1">
      <c r="A780" s="3"/>
      <c r="B780" s="3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</row>
    <row r="781" spans="1:39" ht="15.75" customHeight="1">
      <c r="A781" s="3"/>
      <c r="B781" s="3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</row>
    <row r="782" spans="1:39" ht="15.75" customHeight="1">
      <c r="A782" s="3"/>
      <c r="B782" s="3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</row>
    <row r="783" spans="1:39" ht="15.75" customHeight="1">
      <c r="A783" s="3"/>
      <c r="B783" s="3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</row>
    <row r="784" spans="1:39" ht="15.75" customHeight="1">
      <c r="A784" s="3"/>
      <c r="B784" s="3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</row>
    <row r="785" spans="1:39" ht="15.75" customHeight="1">
      <c r="A785" s="3"/>
      <c r="B785" s="3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</row>
    <row r="786" spans="1:39" ht="15.75" customHeight="1">
      <c r="A786" s="3"/>
      <c r="B786" s="3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</row>
    <row r="787" spans="1:39" ht="15.75" customHeight="1">
      <c r="A787" s="3"/>
      <c r="B787" s="3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</row>
    <row r="788" spans="1:39" ht="15.75" customHeight="1">
      <c r="A788" s="3"/>
      <c r="B788" s="3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</row>
    <row r="789" spans="1:39" ht="15.75" customHeight="1">
      <c r="A789" s="3"/>
      <c r="B789" s="3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</row>
    <row r="790" spans="1:39" ht="15.75" customHeight="1">
      <c r="A790" s="3"/>
      <c r="B790" s="3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</row>
    <row r="791" spans="1:39" ht="15.75" customHeight="1">
      <c r="A791" s="3"/>
      <c r="B791" s="3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</row>
    <row r="792" spans="1:39" ht="15.75" customHeight="1">
      <c r="A792" s="3"/>
      <c r="B792" s="3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</row>
    <row r="793" spans="1:39" ht="15.75" customHeight="1">
      <c r="A793" s="3"/>
      <c r="B793" s="3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</row>
    <row r="794" spans="1:39" ht="15.75" customHeight="1">
      <c r="A794" s="3"/>
      <c r="B794" s="3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</row>
    <row r="795" spans="1:39" ht="15.75" customHeight="1">
      <c r="A795" s="3"/>
      <c r="B795" s="3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</row>
    <row r="796" spans="1:39" ht="15.75" customHeight="1">
      <c r="A796" s="3"/>
      <c r="B796" s="3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</row>
    <row r="797" spans="1:39" ht="15.75" customHeight="1">
      <c r="A797" s="3"/>
      <c r="B797" s="3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</row>
    <row r="798" spans="1:39" ht="15.75" customHeight="1">
      <c r="A798" s="3"/>
      <c r="B798" s="3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</row>
    <row r="799" spans="1:39" ht="15.75" customHeight="1">
      <c r="A799" s="3"/>
      <c r="B799" s="3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</row>
    <row r="800" spans="1:39" ht="15.75" customHeight="1">
      <c r="A800" s="3"/>
      <c r="B800" s="3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</row>
    <row r="801" spans="1:39" ht="15.75" customHeight="1">
      <c r="A801" s="3"/>
      <c r="B801" s="3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</row>
    <row r="802" spans="1:39" ht="15.75" customHeight="1">
      <c r="A802" s="3"/>
      <c r="B802" s="3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</row>
    <row r="803" spans="1:39" ht="15.75" customHeight="1">
      <c r="A803" s="3"/>
      <c r="B803" s="3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</row>
    <row r="804" spans="1:39" ht="15.75" customHeight="1">
      <c r="A804" s="3"/>
      <c r="B804" s="3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</row>
    <row r="805" spans="1:39" ht="15.75" customHeight="1">
      <c r="A805" s="3"/>
      <c r="B805" s="3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</row>
    <row r="806" spans="1:39" ht="15.75" customHeight="1">
      <c r="A806" s="3"/>
      <c r="B806" s="3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</row>
    <row r="807" spans="1:39" ht="15.75" customHeight="1">
      <c r="A807" s="3"/>
      <c r="B807" s="3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</row>
    <row r="808" spans="1:39" ht="15.75" customHeight="1">
      <c r="A808" s="3"/>
      <c r="B808" s="3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</row>
    <row r="809" spans="1:39" ht="15.75" customHeight="1">
      <c r="A809" s="3"/>
      <c r="B809" s="3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</row>
    <row r="810" spans="1:39" ht="15.75" customHeight="1">
      <c r="A810" s="3"/>
      <c r="B810" s="3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</row>
    <row r="811" spans="1:39" ht="15.75" customHeight="1">
      <c r="A811" s="3"/>
      <c r="B811" s="3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</row>
    <row r="812" spans="1:39" ht="15.75" customHeight="1">
      <c r="A812" s="3"/>
      <c r="B812" s="3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</row>
    <row r="813" spans="1:39" ht="15.75" customHeight="1">
      <c r="A813" s="3"/>
      <c r="B813" s="3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</row>
    <row r="814" spans="1:39" ht="15.75" customHeight="1">
      <c r="A814" s="3"/>
      <c r="B814" s="3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</row>
    <row r="815" spans="1:39" ht="15.75" customHeight="1">
      <c r="A815" s="3"/>
      <c r="B815" s="3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</row>
    <row r="816" spans="1:39" ht="15.75" customHeight="1">
      <c r="A816" s="3"/>
      <c r="B816" s="3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</row>
    <row r="817" spans="1:39" ht="15.75" customHeight="1">
      <c r="A817" s="3"/>
      <c r="B817" s="3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</row>
    <row r="818" spans="1:39" ht="15.75" customHeight="1">
      <c r="A818" s="3"/>
      <c r="B818" s="3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</row>
    <row r="819" spans="1:39" ht="15.75" customHeight="1">
      <c r="A819" s="3"/>
      <c r="B819" s="3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</row>
    <row r="820" spans="1:39" ht="15.75" customHeight="1">
      <c r="A820" s="3"/>
      <c r="B820" s="3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</row>
    <row r="821" spans="1:39" ht="15.75" customHeight="1">
      <c r="A821" s="3"/>
      <c r="B821" s="3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</row>
    <row r="822" spans="1:39" ht="15.75" customHeight="1">
      <c r="A822" s="3"/>
      <c r="B822" s="3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</row>
    <row r="823" spans="1:39" ht="15.75" customHeight="1">
      <c r="A823" s="3"/>
      <c r="B823" s="3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</row>
    <row r="824" spans="1:39" ht="15.75" customHeight="1">
      <c r="A824" s="3"/>
      <c r="B824" s="3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</row>
    <row r="825" spans="1:39" ht="15.75" customHeight="1">
      <c r="A825" s="3"/>
      <c r="B825" s="3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</row>
    <row r="826" spans="1:39" ht="15.75" customHeight="1">
      <c r="A826" s="3"/>
      <c r="B826" s="3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</row>
    <row r="827" spans="1:39" ht="15.75" customHeight="1">
      <c r="A827" s="3"/>
      <c r="B827" s="3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</row>
    <row r="828" spans="1:39" ht="15.75" customHeight="1">
      <c r="A828" s="3"/>
      <c r="B828" s="3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</row>
    <row r="829" spans="1:39" ht="15.75" customHeight="1">
      <c r="A829" s="3"/>
      <c r="B829" s="3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</row>
    <row r="830" spans="1:39" ht="15.75" customHeight="1">
      <c r="A830" s="3"/>
      <c r="B830" s="3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</row>
    <row r="831" spans="1:39" ht="15.75" customHeight="1">
      <c r="A831" s="3"/>
      <c r="B831" s="3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</row>
    <row r="832" spans="1:39" ht="15.75" customHeight="1">
      <c r="A832" s="3"/>
      <c r="B832" s="3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</row>
    <row r="833" spans="1:39" ht="15.75" customHeight="1">
      <c r="A833" s="3"/>
      <c r="B833" s="3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</row>
    <row r="834" spans="1:39" ht="15.75" customHeight="1">
      <c r="A834" s="3"/>
      <c r="B834" s="3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</row>
    <row r="835" spans="1:39" ht="15.75" customHeight="1">
      <c r="A835" s="3"/>
      <c r="B835" s="3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</row>
    <row r="836" spans="1:39" ht="15.75" customHeight="1">
      <c r="A836" s="3"/>
      <c r="B836" s="3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</row>
    <row r="837" spans="1:39" ht="15.75" customHeight="1">
      <c r="A837" s="3"/>
      <c r="B837" s="3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</row>
    <row r="838" spans="1:39" ht="15.75" customHeight="1">
      <c r="A838" s="3"/>
      <c r="B838" s="3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</row>
    <row r="839" spans="1:39" ht="15.75" customHeight="1">
      <c r="A839" s="3"/>
      <c r="B839" s="3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</row>
    <row r="840" spans="1:39" ht="15.75" customHeight="1">
      <c r="A840" s="3"/>
      <c r="B840" s="3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</row>
    <row r="841" spans="1:39" ht="15.75" customHeight="1">
      <c r="A841" s="3"/>
      <c r="B841" s="3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</row>
    <row r="842" spans="1:39" ht="15.75" customHeight="1">
      <c r="A842" s="3"/>
      <c r="B842" s="3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</row>
    <row r="843" spans="1:39" ht="15.75" customHeight="1">
      <c r="A843" s="3"/>
      <c r="B843" s="3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</row>
    <row r="844" spans="1:39" ht="15.75" customHeight="1">
      <c r="A844" s="3"/>
      <c r="B844" s="3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</row>
    <row r="845" spans="1:39" ht="15.75" customHeight="1">
      <c r="A845" s="3"/>
      <c r="B845" s="3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</row>
    <row r="846" spans="1:39" ht="15.75" customHeight="1">
      <c r="A846" s="3"/>
      <c r="B846" s="3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</row>
    <row r="847" spans="1:39" ht="15.75" customHeight="1">
      <c r="A847" s="3"/>
      <c r="B847" s="3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</row>
    <row r="848" spans="1:39" ht="15.75" customHeight="1">
      <c r="A848" s="3"/>
      <c r="B848" s="3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</row>
    <row r="849" spans="1:39" ht="15.75" customHeight="1">
      <c r="A849" s="3"/>
      <c r="B849" s="3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</row>
    <row r="850" spans="1:39" ht="15.75" customHeight="1">
      <c r="A850" s="3"/>
      <c r="B850" s="3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</row>
    <row r="851" spans="1:39" ht="15.75" customHeight="1">
      <c r="A851" s="3"/>
      <c r="B851" s="3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</row>
    <row r="852" spans="1:39" ht="15.75" customHeight="1">
      <c r="A852" s="3"/>
      <c r="B852" s="3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</row>
    <row r="853" spans="1:39" ht="15.75" customHeight="1">
      <c r="A853" s="3"/>
      <c r="B853" s="3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</row>
    <row r="854" spans="1:39" ht="15.75" customHeight="1">
      <c r="A854" s="3"/>
      <c r="B854" s="3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</row>
    <row r="855" spans="1:39" ht="15.75" customHeight="1">
      <c r="A855" s="3"/>
      <c r="B855" s="3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</row>
    <row r="856" spans="1:39" ht="15.75" customHeight="1">
      <c r="A856" s="3"/>
      <c r="B856" s="3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</row>
    <row r="857" spans="1:39" ht="15.75" customHeight="1">
      <c r="A857" s="3"/>
      <c r="B857" s="3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</row>
    <row r="858" spans="1:39" ht="15.75" customHeight="1">
      <c r="A858" s="3"/>
      <c r="B858" s="3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</row>
    <row r="859" spans="1:39" ht="15.75" customHeight="1">
      <c r="A859" s="3"/>
      <c r="B859" s="3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</row>
    <row r="860" spans="1:39" ht="15.75" customHeight="1">
      <c r="A860" s="3"/>
      <c r="B860" s="3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</row>
    <row r="861" spans="1:39" ht="15.75" customHeight="1">
      <c r="A861" s="3"/>
      <c r="B861" s="3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</row>
    <row r="862" spans="1:39" ht="15.75" customHeight="1">
      <c r="A862" s="3"/>
      <c r="B862" s="3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</row>
    <row r="863" spans="1:39" ht="15.75" customHeight="1">
      <c r="A863" s="3"/>
      <c r="B863" s="3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</row>
    <row r="864" spans="1:39" ht="15.75" customHeight="1">
      <c r="A864" s="3"/>
      <c r="B864" s="3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</row>
    <row r="865" spans="1:39" ht="15.75" customHeight="1">
      <c r="A865" s="3"/>
      <c r="B865" s="3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</row>
    <row r="866" spans="1:39" ht="15.75" customHeight="1">
      <c r="A866" s="3"/>
      <c r="B866" s="3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</row>
    <row r="867" spans="1:39" ht="15.75" customHeight="1">
      <c r="A867" s="3"/>
      <c r="B867" s="3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</row>
    <row r="868" spans="1:39" ht="15.75" customHeight="1">
      <c r="A868" s="3"/>
      <c r="B868" s="3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</row>
    <row r="869" spans="1:39" ht="15.75" customHeight="1">
      <c r="A869" s="3"/>
      <c r="B869" s="3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</row>
    <row r="870" spans="1:39" ht="15.75" customHeight="1">
      <c r="A870" s="3"/>
      <c r="B870" s="3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</row>
    <row r="871" spans="1:39" ht="15.75" customHeight="1">
      <c r="A871" s="3"/>
      <c r="B871" s="3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</row>
    <row r="872" spans="1:39" ht="15.75" customHeight="1">
      <c r="A872" s="3"/>
      <c r="B872" s="3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</row>
    <row r="873" spans="1:39" ht="15.75" customHeight="1">
      <c r="A873" s="3"/>
      <c r="B873" s="3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</row>
    <row r="874" spans="1:39" ht="15.75" customHeight="1">
      <c r="A874" s="3"/>
      <c r="B874" s="3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</row>
    <row r="875" spans="1:39" ht="15.75" customHeight="1">
      <c r="A875" s="3"/>
      <c r="B875" s="3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</row>
    <row r="876" spans="1:39" ht="15.75" customHeight="1">
      <c r="A876" s="3"/>
      <c r="B876" s="3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</row>
    <row r="877" spans="1:39" ht="15.75" customHeight="1">
      <c r="A877" s="3"/>
      <c r="B877" s="3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</row>
    <row r="878" spans="1:39" ht="15.75" customHeight="1">
      <c r="A878" s="3"/>
      <c r="B878" s="3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</row>
    <row r="879" spans="1:39" ht="15.75" customHeight="1">
      <c r="A879" s="3"/>
      <c r="B879" s="3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</row>
    <row r="880" spans="1:39" ht="15.75" customHeight="1">
      <c r="A880" s="3"/>
      <c r="B880" s="3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</row>
    <row r="881" spans="1:39" ht="15.75" customHeight="1">
      <c r="A881" s="3"/>
      <c r="B881" s="3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</row>
    <row r="882" spans="1:39" ht="15.75" customHeight="1">
      <c r="A882" s="3"/>
      <c r="B882" s="3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</row>
    <row r="883" spans="1:39" ht="15.75" customHeight="1">
      <c r="A883" s="3"/>
      <c r="B883" s="3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</row>
    <row r="884" spans="1:39" ht="15.75" customHeight="1">
      <c r="A884" s="3"/>
      <c r="B884" s="3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</row>
    <row r="885" spans="1:39" ht="15.75" customHeight="1">
      <c r="A885" s="3"/>
      <c r="B885" s="3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</row>
    <row r="886" spans="1:39" ht="15.75" customHeight="1">
      <c r="A886" s="3"/>
      <c r="B886" s="3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</row>
    <row r="887" spans="1:39" ht="15.75" customHeight="1">
      <c r="A887" s="3"/>
      <c r="B887" s="3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</row>
    <row r="888" spans="1:39" ht="15.75" customHeight="1">
      <c r="A888" s="3"/>
      <c r="B888" s="3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</row>
    <row r="889" spans="1:39" ht="15.75" customHeight="1">
      <c r="A889" s="3"/>
      <c r="B889" s="3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</row>
    <row r="890" spans="1:39" ht="15.75" customHeight="1">
      <c r="A890" s="3"/>
      <c r="B890" s="3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</row>
    <row r="891" spans="1:39" ht="15.75" customHeight="1">
      <c r="A891" s="3"/>
      <c r="B891" s="3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</row>
    <row r="892" spans="1:39" ht="15.75" customHeight="1">
      <c r="A892" s="3"/>
      <c r="B892" s="3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</row>
    <row r="893" spans="1:39" ht="15.75" customHeight="1">
      <c r="A893" s="3"/>
      <c r="B893" s="3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</row>
    <row r="894" spans="1:39" ht="15.75" customHeight="1">
      <c r="A894" s="3"/>
      <c r="B894" s="3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</row>
    <row r="895" spans="1:39" ht="15.75" customHeight="1">
      <c r="A895" s="3"/>
      <c r="B895" s="3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</row>
    <row r="896" spans="1:39" ht="15.75" customHeight="1">
      <c r="A896" s="3"/>
      <c r="B896" s="3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</row>
    <row r="897" spans="1:39" ht="15.75" customHeight="1">
      <c r="A897" s="3"/>
      <c r="B897" s="3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</row>
    <row r="898" spans="1:39" ht="15.75" customHeight="1">
      <c r="A898" s="3"/>
      <c r="B898" s="3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</row>
    <row r="899" spans="1:39" ht="15.75" customHeight="1">
      <c r="A899" s="3"/>
      <c r="B899" s="3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</row>
    <row r="900" spans="1:39" ht="15.75" customHeight="1">
      <c r="A900" s="3"/>
      <c r="B900" s="3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</row>
    <row r="901" spans="1:39" ht="15.75" customHeight="1">
      <c r="A901" s="3"/>
      <c r="B901" s="3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</row>
    <row r="902" spans="1:39" ht="15.75" customHeight="1">
      <c r="A902" s="3"/>
      <c r="B902" s="3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</row>
    <row r="903" spans="1:39" ht="15.75" customHeight="1">
      <c r="A903" s="3"/>
      <c r="B903" s="3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</row>
    <row r="904" spans="1:39" ht="15.75" customHeight="1">
      <c r="A904" s="3"/>
      <c r="B904" s="3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</row>
    <row r="905" spans="1:39" ht="15.75" customHeight="1">
      <c r="A905" s="3"/>
      <c r="B905" s="3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</row>
    <row r="906" spans="1:39" ht="15.75" customHeight="1">
      <c r="A906" s="3"/>
      <c r="B906" s="3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</row>
    <row r="907" spans="1:39" ht="15.75" customHeight="1">
      <c r="A907" s="3"/>
      <c r="B907" s="3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</row>
    <row r="908" spans="1:39" ht="15.75" customHeight="1">
      <c r="A908" s="3"/>
      <c r="B908" s="3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</row>
    <row r="909" spans="1:39" ht="15.75" customHeight="1">
      <c r="A909" s="3"/>
      <c r="B909" s="3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</row>
    <row r="910" spans="1:39" ht="15.75" customHeight="1">
      <c r="A910" s="3"/>
      <c r="B910" s="3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</row>
    <row r="911" spans="1:39" ht="15.75" customHeight="1">
      <c r="A911" s="3"/>
      <c r="B911" s="3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</row>
    <row r="912" spans="1:39" ht="15.75" customHeight="1">
      <c r="A912" s="3"/>
      <c r="B912" s="3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</row>
    <row r="913" spans="1:39" ht="15.75" customHeight="1">
      <c r="A913" s="3"/>
      <c r="B913" s="3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</row>
    <row r="914" spans="1:39" ht="15.75" customHeight="1">
      <c r="A914" s="3"/>
      <c r="B914" s="3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</row>
    <row r="915" spans="1:39" ht="15.75" customHeight="1">
      <c r="A915" s="3"/>
      <c r="B915" s="3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</row>
    <row r="916" spans="1:39" ht="15.75" customHeight="1">
      <c r="A916" s="3"/>
      <c r="B916" s="3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</row>
    <row r="917" spans="1:39" ht="15.75" customHeight="1">
      <c r="A917" s="3"/>
      <c r="B917" s="3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</row>
    <row r="918" spans="1:39" ht="15.75" customHeight="1">
      <c r="A918" s="3"/>
      <c r="B918" s="3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</row>
    <row r="919" spans="1:39" ht="15.75" customHeight="1">
      <c r="A919" s="3"/>
      <c r="B919" s="3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</row>
    <row r="920" spans="1:39" ht="15.75" customHeight="1">
      <c r="A920" s="3"/>
      <c r="B920" s="3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</row>
    <row r="921" spans="1:39" ht="15.75" customHeight="1">
      <c r="A921" s="3"/>
      <c r="B921" s="3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</row>
    <row r="922" spans="1:39" ht="15.75" customHeight="1">
      <c r="A922" s="3"/>
      <c r="B922" s="3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</row>
    <row r="923" spans="1:39" ht="15.75" customHeight="1">
      <c r="A923" s="3"/>
      <c r="B923" s="3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</row>
    <row r="924" spans="1:39" ht="15.75" customHeight="1">
      <c r="A924" s="3"/>
      <c r="B924" s="3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</row>
    <row r="925" spans="1:39" ht="15.75" customHeight="1">
      <c r="A925" s="3"/>
      <c r="B925" s="3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</row>
    <row r="926" spans="1:39" ht="15.75" customHeight="1">
      <c r="A926" s="3"/>
      <c r="B926" s="3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</row>
    <row r="927" spans="1:39" ht="15.75" customHeight="1">
      <c r="A927" s="3"/>
      <c r="B927" s="3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</row>
    <row r="928" spans="1:39" ht="15.75" customHeight="1">
      <c r="A928" s="3"/>
      <c r="B928" s="3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</row>
    <row r="929" spans="1:39" ht="15.75" customHeight="1">
      <c r="A929" s="3"/>
      <c r="B929" s="3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</row>
    <row r="930" spans="1:39" ht="15.75" customHeight="1">
      <c r="A930" s="3"/>
      <c r="B930" s="3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</row>
    <row r="931" spans="1:39" ht="15.75" customHeight="1">
      <c r="A931" s="3"/>
      <c r="B931" s="3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</row>
    <row r="932" spans="1:39" ht="15.75" customHeight="1">
      <c r="A932" s="3"/>
      <c r="B932" s="3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</row>
    <row r="933" spans="1:39" ht="15.75" customHeight="1">
      <c r="A933" s="3"/>
      <c r="B933" s="3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</row>
    <row r="934" spans="1:39" ht="15.75" customHeight="1">
      <c r="A934" s="3"/>
      <c r="B934" s="3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</row>
    <row r="935" spans="1:39" ht="15.75" customHeight="1">
      <c r="A935" s="3"/>
      <c r="B935" s="3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</row>
    <row r="936" spans="1:39" ht="15.75" customHeight="1">
      <c r="A936" s="3"/>
      <c r="B936" s="3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</row>
    <row r="937" spans="1:39" ht="15.75" customHeight="1">
      <c r="A937" s="3"/>
      <c r="B937" s="3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</row>
    <row r="938" spans="1:39" ht="15.75" customHeight="1">
      <c r="A938" s="3"/>
      <c r="B938" s="3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</row>
    <row r="939" spans="1:39" ht="15.75" customHeight="1">
      <c r="A939" s="3"/>
      <c r="B939" s="3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</row>
    <row r="940" spans="1:39" ht="15.75" customHeight="1">
      <c r="A940" s="3"/>
      <c r="B940" s="3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</row>
    <row r="941" spans="1:39" ht="15.75" customHeight="1">
      <c r="A941" s="3"/>
      <c r="B941" s="3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</row>
    <row r="942" spans="1:39" ht="15.75" customHeight="1">
      <c r="A942" s="3"/>
      <c r="B942" s="3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</row>
    <row r="943" spans="1:39" ht="15.75" customHeight="1">
      <c r="A943" s="3"/>
      <c r="B943" s="3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</row>
    <row r="944" spans="1:39" ht="15.75" customHeight="1">
      <c r="A944" s="3"/>
      <c r="B944" s="3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</row>
    <row r="945" spans="1:39" ht="15.75" customHeight="1">
      <c r="A945" s="3"/>
      <c r="B945" s="3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</row>
    <row r="946" spans="1:39" ht="15.75" customHeight="1">
      <c r="A946" s="3"/>
      <c r="B946" s="3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</row>
    <row r="947" spans="1:39" ht="15.75" customHeight="1">
      <c r="A947" s="3"/>
      <c r="B947" s="3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</row>
    <row r="948" spans="1:39" ht="15.75" customHeight="1">
      <c r="A948" s="3"/>
      <c r="B948" s="3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</row>
    <row r="949" spans="1:39" ht="15.75" customHeight="1">
      <c r="A949" s="3"/>
      <c r="B949" s="3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</row>
    <row r="950" spans="1:39" ht="15.75" customHeight="1">
      <c r="A950" s="3"/>
      <c r="B950" s="3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</row>
    <row r="951" spans="1:39" ht="15.75" customHeight="1">
      <c r="A951" s="3"/>
      <c r="B951" s="3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</row>
    <row r="952" spans="1:39" ht="15.75" customHeight="1">
      <c r="A952" s="3"/>
      <c r="B952" s="3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</row>
    <row r="953" spans="1:39" ht="15.75" customHeight="1">
      <c r="A953" s="3"/>
      <c r="B953" s="3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</row>
    <row r="954" spans="1:39" ht="15.75" customHeight="1">
      <c r="A954" s="3"/>
      <c r="B954" s="3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</row>
    <row r="955" spans="1:39" ht="15.75" customHeight="1">
      <c r="A955" s="3"/>
      <c r="B955" s="3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</row>
    <row r="956" spans="1:39" ht="15.75" customHeight="1">
      <c r="A956" s="3"/>
      <c r="B956" s="3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</row>
    <row r="957" spans="1:39" ht="15.75" customHeight="1">
      <c r="A957" s="3"/>
      <c r="B957" s="3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</row>
    <row r="958" spans="1:39" ht="15.75" customHeight="1">
      <c r="A958" s="3"/>
      <c r="B958" s="3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</row>
    <row r="959" spans="1:39" ht="15.75" customHeight="1">
      <c r="A959" s="3"/>
      <c r="B959" s="3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</row>
    <row r="960" spans="1:39" ht="15.75" customHeight="1">
      <c r="A960" s="3"/>
      <c r="B960" s="3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</row>
    <row r="961" spans="1:39" ht="15.75" customHeight="1">
      <c r="A961" s="3"/>
      <c r="B961" s="3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</row>
    <row r="962" spans="1:39" ht="15.75" customHeight="1">
      <c r="A962" s="3"/>
      <c r="B962" s="3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</row>
    <row r="963" spans="1:39" ht="15.75" customHeight="1">
      <c r="A963" s="3"/>
      <c r="B963" s="3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</row>
    <row r="964" spans="1:39" ht="15.75" customHeight="1">
      <c r="A964" s="3"/>
      <c r="B964" s="3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</row>
    <row r="965" spans="1:39" ht="15.75" customHeight="1">
      <c r="A965" s="3"/>
      <c r="B965" s="3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</row>
    <row r="966" spans="1:39" ht="15.75" customHeight="1">
      <c r="A966" s="3"/>
      <c r="B966" s="3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</row>
    <row r="967" spans="1:39" ht="15.75" customHeight="1">
      <c r="A967" s="3"/>
      <c r="B967" s="3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</row>
    <row r="968" spans="1:39" ht="15.75" customHeight="1">
      <c r="A968" s="3"/>
      <c r="B968" s="3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</row>
    <row r="969" spans="1:39" ht="15.75" customHeight="1">
      <c r="A969" s="3"/>
      <c r="B969" s="3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</row>
    <row r="970" spans="1:39" ht="15.75" customHeight="1">
      <c r="A970" s="3"/>
      <c r="B970" s="3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</row>
    <row r="971" spans="1:39" ht="15.75" customHeight="1">
      <c r="A971" s="3"/>
      <c r="B971" s="3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</row>
    <row r="972" spans="1:39" ht="15.75" customHeight="1">
      <c r="A972" s="3"/>
      <c r="B972" s="3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</row>
    <row r="973" spans="1:39" ht="15.75" customHeight="1">
      <c r="A973" s="3"/>
      <c r="B973" s="3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</row>
    <row r="974" spans="1:39" ht="15.75" customHeight="1">
      <c r="A974" s="3"/>
      <c r="B974" s="3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</row>
    <row r="975" spans="1:39" ht="15.75" customHeight="1">
      <c r="A975" s="3"/>
      <c r="B975" s="3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</row>
    <row r="976" spans="1:39" ht="15.75" customHeight="1">
      <c r="A976" s="3"/>
      <c r="B976" s="3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</row>
    <row r="977" spans="1:39" ht="15.75" customHeight="1">
      <c r="A977" s="3"/>
      <c r="B977" s="3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</row>
    <row r="978" spans="1:39" ht="15.75" customHeight="1">
      <c r="A978" s="3"/>
      <c r="B978" s="3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</row>
    <row r="979" spans="1:39" ht="15.75" customHeight="1">
      <c r="A979" s="3"/>
      <c r="B979" s="3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</row>
    <row r="980" spans="1:39" ht="15.75" customHeight="1">
      <c r="A980" s="3"/>
      <c r="B980" s="3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</row>
    <row r="981" spans="1:39" ht="15.75" customHeight="1">
      <c r="A981" s="3"/>
      <c r="B981" s="3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</row>
    <row r="982" spans="1:39" ht="15.75" customHeight="1">
      <c r="A982" s="3"/>
      <c r="B982" s="3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</row>
    <row r="983" spans="1:39" ht="15.75" customHeight="1">
      <c r="A983" s="3"/>
      <c r="B983" s="3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</row>
    <row r="984" spans="1:39" ht="15.75" customHeight="1">
      <c r="A984" s="3"/>
      <c r="B984" s="3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</row>
    <row r="985" spans="1:39" ht="15.75" customHeight="1">
      <c r="A985" s="3"/>
      <c r="B985" s="3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</row>
    <row r="986" spans="1:39" ht="15.75" customHeight="1">
      <c r="A986" s="3"/>
      <c r="B986" s="3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</row>
    <row r="987" spans="1:39" ht="15.75" customHeight="1">
      <c r="A987" s="3"/>
      <c r="B987" s="3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</row>
    <row r="988" spans="1:39" ht="15.75" customHeight="1">
      <c r="A988" s="3"/>
      <c r="B988" s="3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</row>
    <row r="989" spans="1:39" ht="15.75" customHeight="1">
      <c r="A989" s="3"/>
      <c r="B989" s="3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</row>
    <row r="990" spans="1:39" ht="15.75" customHeight="1">
      <c r="A990" s="3"/>
      <c r="B990" s="3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</row>
    <row r="991" spans="1:39" ht="15.75" customHeight="1">
      <c r="A991" s="3"/>
      <c r="B991" s="3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</row>
    <row r="992" spans="1:39" ht="15.75" customHeight="1">
      <c r="A992" s="3"/>
      <c r="B992" s="3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</row>
    <row r="993" spans="1:39" ht="15.75" customHeight="1">
      <c r="A993" s="3"/>
      <c r="B993" s="3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</row>
    <row r="994" spans="1:39" ht="15.75" customHeight="1">
      <c r="A994" s="3"/>
      <c r="B994" s="3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</row>
    <row r="995" spans="1:39" ht="15.75" customHeight="1">
      <c r="A995" s="3"/>
      <c r="B995" s="3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</row>
    <row r="996" spans="1:39" ht="15.75" customHeight="1">
      <c r="A996" s="3"/>
      <c r="B996" s="3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</row>
    <row r="997" spans="1:39" ht="15.75" customHeight="1">
      <c r="A997" s="3"/>
      <c r="B997" s="3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</row>
    <row r="998" spans="1:39" ht="15.75" customHeight="1">
      <c r="A998" s="3"/>
      <c r="B998" s="3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</row>
    <row r="999" spans="1:39" ht="15.75" customHeight="1">
      <c r="A999" s="3"/>
      <c r="B999" s="3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</row>
    <row r="1000" spans="1:39" ht="15.75" customHeight="1">
      <c r="A1000" s="3"/>
      <c r="B1000" s="3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</row>
  </sheetData>
  <pageMargins left="0.7" right="0.7" top="0.75" bottom="0.75" header="0" footer="0"/>
  <pageSetup orientation="portrait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000"/>
  <sheetViews>
    <sheetView workbookViewId="0"/>
  </sheetViews>
  <sheetFormatPr defaultColWidth="14.44140625" defaultRowHeight="15" customHeight="1"/>
  <cols>
    <col min="1" max="1" width="15.88671875" customWidth="1"/>
    <col min="2" max="2" width="4.44140625" hidden="1" customWidth="1"/>
    <col min="3" max="3" width="15.88671875" hidden="1" customWidth="1"/>
    <col min="4" max="4" width="13.33203125" customWidth="1"/>
    <col min="5" max="5" width="10.5546875" customWidth="1"/>
    <col min="6" max="6" width="9.88671875" customWidth="1"/>
    <col min="7" max="7" width="9.33203125" customWidth="1"/>
    <col min="8" max="8" width="9" customWidth="1"/>
    <col min="9" max="9" width="10.5546875" customWidth="1"/>
    <col min="10" max="10" width="11.88671875" customWidth="1"/>
    <col min="11" max="11" width="8.6640625" customWidth="1"/>
    <col min="12" max="12" width="9.44140625" customWidth="1"/>
    <col min="13" max="13" width="9.5546875" customWidth="1"/>
    <col min="14" max="14" width="11.6640625" customWidth="1"/>
    <col min="15" max="15" width="15.88671875" customWidth="1"/>
    <col min="16" max="16" width="13.5546875" customWidth="1"/>
    <col min="17" max="17" width="16.5546875" customWidth="1"/>
    <col min="18" max="29" width="16" customWidth="1"/>
    <col min="30" max="30" width="16.33203125" customWidth="1"/>
    <col min="31" max="31" width="10.33203125" customWidth="1"/>
    <col min="32" max="33" width="16" customWidth="1"/>
    <col min="34" max="43" width="15.88671875" customWidth="1"/>
  </cols>
  <sheetData>
    <row r="1" spans="1:43" ht="12" customHeight="1">
      <c r="A1" s="5" t="s">
        <v>202</v>
      </c>
      <c r="B1" s="5"/>
      <c r="C1" s="5"/>
      <c r="D1" s="27" t="s">
        <v>159</v>
      </c>
      <c r="E1" s="28" t="s">
        <v>203</v>
      </c>
      <c r="F1" s="29" t="s">
        <v>204</v>
      </c>
      <c r="G1" s="30"/>
      <c r="H1" s="30" t="s">
        <v>205</v>
      </c>
      <c r="I1" s="31" t="s">
        <v>206</v>
      </c>
      <c r="J1" s="32" t="s">
        <v>207</v>
      </c>
      <c r="K1" s="33" t="s">
        <v>208</v>
      </c>
      <c r="L1" s="33" t="s">
        <v>209</v>
      </c>
      <c r="M1" s="30" t="s">
        <v>210</v>
      </c>
      <c r="N1" s="34" t="s">
        <v>211</v>
      </c>
      <c r="O1" s="34" t="s">
        <v>212</v>
      </c>
      <c r="P1" s="34" t="s">
        <v>213</v>
      </c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</row>
    <row r="2" spans="1:43" ht="12" customHeight="1">
      <c r="A2" s="35" t="str">
        <f>optionchain!$E2&amp; " " &amp;H2</f>
        <v>NIFTY 44924</v>
      </c>
      <c r="B2" s="5"/>
      <c r="C2" s="35"/>
      <c r="D2" s="36" t="s">
        <v>170</v>
      </c>
      <c r="E2" s="30" t="str">
        <f>IF(F2=50,"NIFTY","BANKNIFTY")</f>
        <v>NIFTY</v>
      </c>
      <c r="F2" s="30">
        <f>oiFNO!$AC$7</f>
        <v>50</v>
      </c>
      <c r="G2" s="37" t="str">
        <f>VLOOKUP(A2,'ALL FUT'!A:N,3,0)</f>
        <v>NIFTY</v>
      </c>
      <c r="H2" s="38">
        <v>44924</v>
      </c>
      <c r="I2" s="30">
        <v>0.89</v>
      </c>
      <c r="J2" s="39">
        <v>44896</v>
      </c>
      <c r="K2" s="30" t="str">
        <f>+IF(E28&gt;=M28,"BEARISH","BULLISH")</f>
        <v>BEARISH</v>
      </c>
      <c r="L2" s="30" t="str">
        <f>IF(F28&gt;L28,"BEARISH","BULLISH")</f>
        <v>BEARISH</v>
      </c>
      <c r="M2" s="30">
        <v>0</v>
      </c>
      <c r="N2" s="34">
        <v>0</v>
      </c>
      <c r="O2" s="40">
        <f ca="1">TODAY()</f>
        <v>45465</v>
      </c>
      <c r="P2" s="41" t="e">
        <f ca="1">(P3+0.66)/365</f>
        <v>#NAME?</v>
      </c>
      <c r="Q2" s="42"/>
      <c r="R2" s="42"/>
      <c r="S2" s="42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</row>
    <row r="3" spans="1:43" ht="12" customHeight="1">
      <c r="A3" s="5"/>
      <c r="B3" s="5"/>
      <c r="C3" s="5"/>
      <c r="D3" s="5"/>
      <c r="E3" s="5"/>
      <c r="F3" s="5"/>
      <c r="G3" s="5"/>
      <c r="H3" s="5"/>
      <c r="I3" s="43" t="s">
        <v>190</v>
      </c>
      <c r="J3" s="5"/>
      <c r="K3" s="5"/>
      <c r="L3" s="5"/>
      <c r="M3" s="5"/>
      <c r="N3" s="5"/>
      <c r="O3" s="5"/>
      <c r="P3" s="34" t="e">
        <f ca="1">_xludf.DAYS(optionchain!$J$2,O2)</f>
        <v>#NAME?</v>
      </c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</row>
    <row r="4" spans="1:43" ht="12" customHeight="1">
      <c r="A4" s="5"/>
      <c r="B4" s="5"/>
      <c r="C4" s="5"/>
      <c r="D4" s="5"/>
      <c r="E4" s="5"/>
      <c r="F4" s="5"/>
      <c r="G4" s="5"/>
      <c r="H4" s="5"/>
      <c r="I4" s="44">
        <f>VLOOKUP(A2,'ALL FUT'!A:N,5,0)</f>
        <v>18649</v>
      </c>
      <c r="J4" s="5"/>
      <c r="K4" s="5"/>
      <c r="L4" s="5"/>
      <c r="M4" s="5"/>
      <c r="N4" s="5"/>
      <c r="O4" s="5"/>
      <c r="P4" s="4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12" customHeight="1">
      <c r="A5" s="5"/>
      <c r="B5" s="5"/>
      <c r="C5" s="5"/>
      <c r="D5" s="28"/>
      <c r="E5" s="125" t="s">
        <v>214</v>
      </c>
      <c r="F5" s="126"/>
      <c r="G5" s="126"/>
      <c r="H5" s="127"/>
      <c r="I5" s="28" t="s">
        <v>215</v>
      </c>
      <c r="J5" s="125" t="s">
        <v>216</v>
      </c>
      <c r="K5" s="126"/>
      <c r="L5" s="126"/>
      <c r="M5" s="127"/>
      <c r="N5" s="28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2" customHeight="1">
      <c r="A6" s="5" t="s">
        <v>217</v>
      </c>
      <c r="B6" s="5"/>
      <c r="C6" s="5"/>
      <c r="D6" s="46" t="s">
        <v>218</v>
      </c>
      <c r="E6" s="47" t="s">
        <v>219</v>
      </c>
      <c r="F6" s="47" t="s">
        <v>220</v>
      </c>
      <c r="G6" s="48" t="s">
        <v>221</v>
      </c>
      <c r="H6" s="47" t="s">
        <v>222</v>
      </c>
      <c r="I6" s="49">
        <f>oiFNO!$X$18</f>
        <v>18512.75</v>
      </c>
      <c r="J6" s="47" t="s">
        <v>222</v>
      </c>
      <c r="K6" s="48" t="s">
        <v>223</v>
      </c>
      <c r="L6" s="47" t="s">
        <v>224</v>
      </c>
      <c r="M6" s="47" t="s">
        <v>188</v>
      </c>
      <c r="N6" s="50" t="s">
        <v>218</v>
      </c>
      <c r="O6" s="5" t="s">
        <v>225</v>
      </c>
      <c r="P6" s="5"/>
      <c r="Q6" s="5"/>
      <c r="R6" s="24"/>
      <c r="S6" s="24" t="s">
        <v>221</v>
      </c>
      <c r="T6" s="24" t="s">
        <v>223</v>
      </c>
      <c r="U6" s="34" t="s">
        <v>226</v>
      </c>
      <c r="V6" s="34" t="s">
        <v>227</v>
      </c>
      <c r="W6" s="34" t="s">
        <v>228</v>
      </c>
      <c r="X6" s="34" t="s">
        <v>229</v>
      </c>
      <c r="Y6" s="34" t="s">
        <v>230</v>
      </c>
      <c r="Z6" s="34" t="s">
        <v>231</v>
      </c>
      <c r="AA6" s="34" t="s">
        <v>232</v>
      </c>
      <c r="AB6" s="34" t="s">
        <v>233</v>
      </c>
      <c r="AC6" s="34" t="s">
        <v>234</v>
      </c>
      <c r="AD6" s="34" t="s">
        <v>235</v>
      </c>
      <c r="AE6" s="34" t="s">
        <v>236</v>
      </c>
      <c r="AF6" s="5" t="s">
        <v>237</v>
      </c>
      <c r="AG6" s="34" t="s">
        <v>238</v>
      </c>
      <c r="AH6" s="34" t="s">
        <v>227</v>
      </c>
      <c r="AI6" s="34" t="s">
        <v>228</v>
      </c>
      <c r="AJ6" s="34" t="s">
        <v>229</v>
      </c>
      <c r="AK6" s="34" t="s">
        <v>230</v>
      </c>
      <c r="AL6" s="34" t="s">
        <v>231</v>
      </c>
      <c r="AM6" s="51" t="s">
        <v>239</v>
      </c>
      <c r="AN6" s="34" t="s">
        <v>233</v>
      </c>
      <c r="AO6" s="34" t="s">
        <v>234</v>
      </c>
      <c r="AP6" s="34" t="s">
        <v>235</v>
      </c>
      <c r="AQ6" s="34" t="s">
        <v>236</v>
      </c>
    </row>
    <row r="7" spans="1:43" ht="12" customHeight="1">
      <c r="A7" s="45">
        <f t="shared" ref="A7:A17" si="0">($I$6-I7)</f>
        <v>512.75</v>
      </c>
      <c r="B7" s="5" t="str">
        <f>optionchain!$J$2 &amp;" " &amp; I7</f>
        <v>44896 18000</v>
      </c>
      <c r="C7" s="5"/>
      <c r="D7" s="52">
        <f t="shared" ref="D7:D27" si="1">(E7-F7)</f>
        <v>254850</v>
      </c>
      <c r="E7" s="53">
        <f>VLOOKUP(optionchain!$B7,oiFNO!$H$5:$T$200,6,0)</f>
        <v>256900</v>
      </c>
      <c r="F7" s="53">
        <f>VLOOKUP(optionchain!$B7,oiFNO!$H$5:$T$200,7,0)</f>
        <v>2050</v>
      </c>
      <c r="G7" s="54" t="e">
        <f t="shared" ref="G7:G27" ca="1" si="2">IF(H7=0,0,ABS(S7*100))</f>
        <v>#NAME?</v>
      </c>
      <c r="H7" s="53">
        <f>VLOOKUP(optionchain!$B7,oiFNO!$H$5:$T$200,3,0)</f>
        <v>537</v>
      </c>
      <c r="I7" s="52">
        <f t="shared" ref="I7:I16" si="3">(I8-$F$2)</f>
        <v>18000</v>
      </c>
      <c r="J7" s="55">
        <f>VLOOKUP(optionchain!$B7,oiFNO!$H$5:$T$200,9,0)</f>
        <v>6.05</v>
      </c>
      <c r="K7" s="56" t="e">
        <f t="shared" ref="K7:K27" ca="1" si="4">IF(J7=0,0,ABS(T7*100))</f>
        <v>#NAME?</v>
      </c>
      <c r="L7" s="55">
        <f>VLOOKUP(optionchain!$B7,oiFNO!$H$5:$T$200,13,0)</f>
        <v>351650</v>
      </c>
      <c r="M7" s="55">
        <f>VLOOKUP(optionchain!$B7,oiFNO!$H$5:$T$200,12,0)</f>
        <v>3093950</v>
      </c>
      <c r="N7" s="52">
        <f t="shared" ref="N7:N27" si="5">(M7-L7)</f>
        <v>2742300</v>
      </c>
      <c r="O7" s="5"/>
      <c r="P7" s="24">
        <f t="shared" ref="P7:P27" si="6">(H7+J7)</f>
        <v>543.04999999999995</v>
      </c>
      <c r="Q7" s="57"/>
      <c r="R7" s="58"/>
      <c r="S7" s="59" t="e">
        <f t="shared" ref="S7:S27" ca="1" si="7">-(AA7-H7)/AF7 +U7</f>
        <v>#NAME?</v>
      </c>
      <c r="T7" s="59" t="e">
        <f t="shared" ref="T7:T27" ca="1" si="8">-(AM7-J7)/AQ7 +AG7</f>
        <v>#NAME?</v>
      </c>
      <c r="U7" s="60">
        <v>0.5</v>
      </c>
      <c r="V7" s="61" t="e">
        <f t="shared" ref="V7:V27" ca="1" si="9">IF(ISBLANK($N$2),LN($I$4/I7)+(($M$2 + (0.5*(U7^2)))*$P$2),LN($I$4/I7)+(($M$2 -$N$2+ (0.5*(U7^2)))*$P$2))/(U7*$P$2^0.5)</f>
        <v>#NAME?</v>
      </c>
      <c r="W7" s="61" t="e">
        <f t="shared" ref="W7:W27" ca="1" si="10">V7-U7*$P$2^0.5</f>
        <v>#NAME?</v>
      </c>
      <c r="X7" s="61" t="e">
        <f t="shared" ref="X7:Y7" ca="1" si="11">NORMSDIST(V7)</f>
        <v>#NAME?</v>
      </c>
      <c r="Y7" s="61" t="e">
        <f t="shared" ca="1" si="11"/>
        <v>#NAME?</v>
      </c>
      <c r="Z7" s="61" t="e">
        <f t="shared" ref="Z7:Z27" ca="1" si="12">1/(2*PI())^0.5*(EXP(-(V7^2)/2))</f>
        <v>#NAME?</v>
      </c>
      <c r="AA7" s="62" t="e">
        <f t="shared" ref="AA7:AA27" ca="1" si="13">IF(ISBLANK($N$2),$I$4*X7-($I7*EXP(-$M$2*$P$2))*X7, EXP(-$N$2* $P$2) * ($I$4 * X7) - ($I7 * EXP(-$M$2 * $P$2) *Y7))</f>
        <v>#NAME?</v>
      </c>
      <c r="AB7" s="61" t="e">
        <f t="shared" ref="AB7:AB27" ca="1" si="14">X7*EXP(-$N$2 * $P$2)</f>
        <v>#NAME?</v>
      </c>
      <c r="AC7" s="61" t="e">
        <f t="shared" ref="AC7:AC27" ca="1" si="15">(Z7 * EXP(-$N$2 * $P$2)) / ($I$4 * U7 * ($P$2^ (1 / 2)))</f>
        <v>#NAME?</v>
      </c>
      <c r="AD7" s="61" t="e">
        <f t="shared" ref="AD7:AD27" ca="1" si="16">-($I$4 *Z7 * U7 * EXP(-$N$2 * $P$2)) / (2 * ($P$2 ^ (1 / 2))) + ($N$2 * $I$4* X7 * EXP(-$N$2 * $P$2)) - ($M$2 * $I7 * EXP(-$M$2 * $P$2) * Y7)</f>
        <v>#NAME?</v>
      </c>
      <c r="AE7" s="61" t="e">
        <f t="shared" ref="AE7:AE27" ca="1" si="17">$I$4 * ($P$2 ^ (1 / 2)) * Z7 * EXP(-$N$2 * $P$2)</f>
        <v>#NAME?</v>
      </c>
      <c r="AF7" s="63" t="e">
        <f t="shared" ref="AF7:AF27" ca="1" si="18">$I$4*SQRT($P$2)* _xlfn.NORM.DIST(V7, 0,1,FALSE)</f>
        <v>#NAME?</v>
      </c>
      <c r="AG7" s="61">
        <v>0.5</v>
      </c>
      <c r="AH7" s="61" t="e">
        <f t="shared" ref="AH7:AH27" ca="1" si="19">IF(ISBLANK($N$2),LN($I$4/I7)+(($M$2 + (0.5*(AG7^2)))*$P$2),LN($I$4/I7)+(($M$2 -$N$2+ (0.5*(AG7^2)))*$P$2))/(AG7*$P$2^0.5)</f>
        <v>#NAME?</v>
      </c>
      <c r="AI7" s="61" t="e">
        <f t="shared" ref="AI7:AI27" ca="1" si="20">AH7-AG7*$P$2^0.5</f>
        <v>#NAME?</v>
      </c>
      <c r="AJ7" s="61" t="e">
        <f t="shared" ref="AJ7:AK7" ca="1" si="21">NORMSDIST(AH7)</f>
        <v>#NAME?</v>
      </c>
      <c r="AK7" s="60" t="e">
        <f t="shared" ca="1" si="21"/>
        <v>#NAME?</v>
      </c>
      <c r="AL7" s="34" t="e">
        <f t="shared" ref="AL7:AL27" ca="1" si="22">1/(2*PI())^0.5*(EXP(-(AH7^2)/2))</f>
        <v>#NAME?</v>
      </c>
      <c r="AM7" s="51" t="e">
        <f t="shared" ref="AM7:AM27" ca="1" si="23">IF(ISBLANK($N$2),EXP(-$M$2 * $P$2) * $I7 * (1 - AK7) - $I$4 * (1 - AJ7),EXP(-$M$2 * $P$2) * $I7 * NORMSDIST(-AI7) - EXP(-$N$2 * $P$2) * $I$4 * NORMSDIST(-AH7))</f>
        <v>#NAME?</v>
      </c>
      <c r="AN7" s="34" t="e">
        <f t="shared" ref="AN7:AN27" ca="1" si="24">(AJ7 - 1) * EXP(-$N$2* $P$2)</f>
        <v>#NAME?</v>
      </c>
      <c r="AO7" s="61" t="e">
        <f t="shared" ref="AO7:AO27" ca="1" si="25">AC7</f>
        <v>#NAME?</v>
      </c>
      <c r="AP7" s="61" t="e">
        <f t="shared" ref="AP7:AP27" ca="1" si="26">-($I$4 * AL7 * AG7 * EXP(-$N$2* $P$2)) / (2 * ($P$2^ (1 / 2))) - ($N$2 * $I$4 * NORMSDIST(-AH7) * EXP(-$N$2 * $P$2)) + ($M$2* I7 * EXP(-$M$2 * $P$2) * NORMSDIST(-AI7))</f>
        <v>#NAME?</v>
      </c>
      <c r="AQ7" s="61" t="e">
        <f t="shared" ref="AQ7:AQ27" ca="1" si="27">AE7</f>
        <v>#NAME?</v>
      </c>
    </row>
    <row r="8" spans="1:43" ht="12" customHeight="1">
      <c r="A8" s="45">
        <f t="shared" si="0"/>
        <v>462.75</v>
      </c>
      <c r="B8" s="5" t="str">
        <f>optionchain!$J$2 &amp;" " &amp; I8</f>
        <v>44896 18050</v>
      </c>
      <c r="C8" s="5"/>
      <c r="D8" s="52">
        <f t="shared" si="1"/>
        <v>23250</v>
      </c>
      <c r="E8" s="53">
        <f>VLOOKUP(optionchain!$B8,oiFNO!$H$5:$T$200,6,0)</f>
        <v>21100</v>
      </c>
      <c r="F8" s="53">
        <f>VLOOKUP(optionchain!$B8,oiFNO!$H$5:$T$200,7,0)</f>
        <v>-2150</v>
      </c>
      <c r="G8" s="54" t="e">
        <f t="shared" ca="1" si="2"/>
        <v>#NAME?</v>
      </c>
      <c r="H8" s="53">
        <f>VLOOKUP(optionchain!$B8,oiFNO!$H$5:$T$200,3,0)</f>
        <v>485.35</v>
      </c>
      <c r="I8" s="52">
        <f t="shared" si="3"/>
        <v>18050</v>
      </c>
      <c r="J8" s="55">
        <f>VLOOKUP(optionchain!$B8,oiFNO!$H$5:$T$200,9,0)</f>
        <v>7.3</v>
      </c>
      <c r="K8" s="56" t="e">
        <f t="shared" ca="1" si="4"/>
        <v>#NAME?</v>
      </c>
      <c r="L8" s="55">
        <f>VLOOKUP(optionchain!$B8,oiFNO!$H$5:$T$200,13,0)</f>
        <v>796100</v>
      </c>
      <c r="M8" s="55">
        <f>VLOOKUP(optionchain!$B8,oiFNO!$H$5:$T$200,12,0)</f>
        <v>1314100</v>
      </c>
      <c r="N8" s="52">
        <f t="shared" si="5"/>
        <v>518000</v>
      </c>
      <c r="O8" s="5"/>
      <c r="P8" s="24">
        <f t="shared" si="6"/>
        <v>492.65000000000003</v>
      </c>
      <c r="Q8" s="57"/>
      <c r="R8" s="58"/>
      <c r="S8" s="59" t="e">
        <f t="shared" ca="1" si="7"/>
        <v>#NAME?</v>
      </c>
      <c r="T8" s="59" t="e">
        <f t="shared" ca="1" si="8"/>
        <v>#NAME?</v>
      </c>
      <c r="U8" s="60">
        <v>0.5</v>
      </c>
      <c r="V8" s="61" t="e">
        <f t="shared" ca="1" si="9"/>
        <v>#NAME?</v>
      </c>
      <c r="W8" s="61" t="e">
        <f t="shared" ca="1" si="10"/>
        <v>#NAME?</v>
      </c>
      <c r="X8" s="61" t="e">
        <f t="shared" ref="X8:Y8" ca="1" si="28">NORMSDIST(V8)</f>
        <v>#NAME?</v>
      </c>
      <c r="Y8" s="61" t="e">
        <f t="shared" ca="1" si="28"/>
        <v>#NAME?</v>
      </c>
      <c r="Z8" s="61" t="e">
        <f t="shared" ca="1" si="12"/>
        <v>#NAME?</v>
      </c>
      <c r="AA8" s="62" t="e">
        <f t="shared" ca="1" si="13"/>
        <v>#NAME?</v>
      </c>
      <c r="AB8" s="61" t="e">
        <f t="shared" ca="1" si="14"/>
        <v>#NAME?</v>
      </c>
      <c r="AC8" s="61" t="e">
        <f t="shared" ca="1" si="15"/>
        <v>#NAME?</v>
      </c>
      <c r="AD8" s="61" t="e">
        <f t="shared" ca="1" si="16"/>
        <v>#NAME?</v>
      </c>
      <c r="AE8" s="61" t="e">
        <f t="shared" ca="1" si="17"/>
        <v>#NAME?</v>
      </c>
      <c r="AF8" s="63" t="e">
        <f t="shared" ca="1" si="18"/>
        <v>#NAME?</v>
      </c>
      <c r="AG8" s="61">
        <v>0.5</v>
      </c>
      <c r="AH8" s="61" t="e">
        <f t="shared" ca="1" si="19"/>
        <v>#NAME?</v>
      </c>
      <c r="AI8" s="61" t="e">
        <f t="shared" ca="1" si="20"/>
        <v>#NAME?</v>
      </c>
      <c r="AJ8" s="61" t="e">
        <f t="shared" ref="AJ8:AK8" ca="1" si="29">NORMSDIST(AH8)</f>
        <v>#NAME?</v>
      </c>
      <c r="AK8" s="60" t="e">
        <f t="shared" ca="1" si="29"/>
        <v>#NAME?</v>
      </c>
      <c r="AL8" s="34" t="e">
        <f t="shared" ca="1" si="22"/>
        <v>#NAME?</v>
      </c>
      <c r="AM8" s="51" t="e">
        <f t="shared" ca="1" si="23"/>
        <v>#NAME?</v>
      </c>
      <c r="AN8" s="34" t="e">
        <f t="shared" ca="1" si="24"/>
        <v>#NAME?</v>
      </c>
      <c r="AO8" s="61" t="e">
        <f t="shared" ca="1" si="25"/>
        <v>#NAME?</v>
      </c>
      <c r="AP8" s="61" t="e">
        <f t="shared" ca="1" si="26"/>
        <v>#NAME?</v>
      </c>
      <c r="AQ8" s="61" t="e">
        <f t="shared" ca="1" si="27"/>
        <v>#NAME?</v>
      </c>
    </row>
    <row r="9" spans="1:43" ht="12" customHeight="1">
      <c r="A9" s="45">
        <f t="shared" si="0"/>
        <v>412.75</v>
      </c>
      <c r="B9" s="5" t="str">
        <f>optionchain!$J$2 &amp;" " &amp; I9</f>
        <v>44896 18100</v>
      </c>
      <c r="C9" s="5"/>
      <c r="D9" s="52">
        <f t="shared" si="1"/>
        <v>114300</v>
      </c>
      <c r="E9" s="53">
        <f>VLOOKUP(optionchain!$B9,oiFNO!$H$5:$T$200,6,0)</f>
        <v>100250</v>
      </c>
      <c r="F9" s="53">
        <f>VLOOKUP(optionchain!$B9,oiFNO!$H$5:$T$200,7,0)</f>
        <v>-14050</v>
      </c>
      <c r="G9" s="54" t="e">
        <f t="shared" ca="1" si="2"/>
        <v>#NAME?</v>
      </c>
      <c r="H9" s="53">
        <f>VLOOKUP(optionchain!$B9,oiFNO!$H$5:$T$200,3,0)</f>
        <v>440</v>
      </c>
      <c r="I9" s="52">
        <f t="shared" si="3"/>
        <v>18100</v>
      </c>
      <c r="J9" s="55">
        <f>VLOOKUP(optionchain!$B9,oiFNO!$H$5:$T$200,9,0)</f>
        <v>8.8000000000000007</v>
      </c>
      <c r="K9" s="56" t="e">
        <f t="shared" ca="1" si="4"/>
        <v>#NAME?</v>
      </c>
      <c r="L9" s="55">
        <f>VLOOKUP(optionchain!$B9,oiFNO!$H$5:$T$200,13,0)</f>
        <v>921850</v>
      </c>
      <c r="M9" s="55">
        <f>VLOOKUP(optionchain!$B9,oiFNO!$H$5:$T$200,12,0)</f>
        <v>2897900</v>
      </c>
      <c r="N9" s="52">
        <f t="shared" si="5"/>
        <v>1976050</v>
      </c>
      <c r="O9" s="5"/>
      <c r="P9" s="24">
        <f t="shared" si="6"/>
        <v>448.8</v>
      </c>
      <c r="Q9" s="57"/>
      <c r="R9" s="58"/>
      <c r="S9" s="59" t="e">
        <f t="shared" ca="1" si="7"/>
        <v>#NAME?</v>
      </c>
      <c r="T9" s="59" t="e">
        <f t="shared" ca="1" si="8"/>
        <v>#NAME?</v>
      </c>
      <c r="U9" s="60">
        <v>0.5</v>
      </c>
      <c r="V9" s="61" t="e">
        <f t="shared" ca="1" si="9"/>
        <v>#NAME?</v>
      </c>
      <c r="W9" s="61" t="e">
        <f t="shared" ca="1" si="10"/>
        <v>#NAME?</v>
      </c>
      <c r="X9" s="61" t="e">
        <f t="shared" ref="X9:Y9" ca="1" si="30">NORMSDIST(V9)</f>
        <v>#NAME?</v>
      </c>
      <c r="Y9" s="61" t="e">
        <f t="shared" ca="1" si="30"/>
        <v>#NAME?</v>
      </c>
      <c r="Z9" s="61" t="e">
        <f t="shared" ca="1" si="12"/>
        <v>#NAME?</v>
      </c>
      <c r="AA9" s="62" t="e">
        <f t="shared" ca="1" si="13"/>
        <v>#NAME?</v>
      </c>
      <c r="AB9" s="61" t="e">
        <f t="shared" ca="1" si="14"/>
        <v>#NAME?</v>
      </c>
      <c r="AC9" s="61" t="e">
        <f t="shared" ca="1" si="15"/>
        <v>#NAME?</v>
      </c>
      <c r="AD9" s="61" t="e">
        <f t="shared" ca="1" si="16"/>
        <v>#NAME?</v>
      </c>
      <c r="AE9" s="61" t="e">
        <f t="shared" ca="1" si="17"/>
        <v>#NAME?</v>
      </c>
      <c r="AF9" s="63" t="e">
        <f t="shared" ca="1" si="18"/>
        <v>#NAME?</v>
      </c>
      <c r="AG9" s="61">
        <v>0.5</v>
      </c>
      <c r="AH9" s="61" t="e">
        <f t="shared" ca="1" si="19"/>
        <v>#NAME?</v>
      </c>
      <c r="AI9" s="61" t="e">
        <f t="shared" ca="1" si="20"/>
        <v>#NAME?</v>
      </c>
      <c r="AJ9" s="61" t="e">
        <f t="shared" ref="AJ9:AK9" ca="1" si="31">NORMSDIST(AH9)</f>
        <v>#NAME?</v>
      </c>
      <c r="AK9" s="60" t="e">
        <f t="shared" ca="1" si="31"/>
        <v>#NAME?</v>
      </c>
      <c r="AL9" s="34" t="e">
        <f t="shared" ca="1" si="22"/>
        <v>#NAME?</v>
      </c>
      <c r="AM9" s="51" t="e">
        <f t="shared" ca="1" si="23"/>
        <v>#NAME?</v>
      </c>
      <c r="AN9" s="34" t="e">
        <f t="shared" ca="1" si="24"/>
        <v>#NAME?</v>
      </c>
      <c r="AO9" s="61" t="e">
        <f t="shared" ca="1" si="25"/>
        <v>#NAME?</v>
      </c>
      <c r="AP9" s="61" t="e">
        <f t="shared" ca="1" si="26"/>
        <v>#NAME?</v>
      </c>
      <c r="AQ9" s="61" t="e">
        <f t="shared" ca="1" si="27"/>
        <v>#NAME?</v>
      </c>
    </row>
    <row r="10" spans="1:43" ht="12" customHeight="1">
      <c r="A10" s="45">
        <f t="shared" si="0"/>
        <v>362.75</v>
      </c>
      <c r="B10" s="5" t="str">
        <f>optionchain!$J$2 &amp;" " &amp; I10</f>
        <v>44896 18150</v>
      </c>
      <c r="C10" s="5"/>
      <c r="D10" s="52">
        <f t="shared" si="1"/>
        <v>109200</v>
      </c>
      <c r="E10" s="53">
        <f>VLOOKUP(optionchain!$B10,oiFNO!$H$5:$T$200,6,0)</f>
        <v>102300</v>
      </c>
      <c r="F10" s="53">
        <f>VLOOKUP(optionchain!$B10,oiFNO!$H$5:$T$200,7,0)</f>
        <v>-6900</v>
      </c>
      <c r="G10" s="54" t="e">
        <f t="shared" ca="1" si="2"/>
        <v>#NAME?</v>
      </c>
      <c r="H10" s="53">
        <f>VLOOKUP(optionchain!$B10,oiFNO!$H$5:$T$200,3,0)</f>
        <v>389</v>
      </c>
      <c r="I10" s="52">
        <f t="shared" si="3"/>
        <v>18150</v>
      </c>
      <c r="J10" s="55">
        <f>VLOOKUP(optionchain!$B10,oiFNO!$H$5:$T$200,9,0)</f>
        <v>11.3</v>
      </c>
      <c r="K10" s="56" t="e">
        <f t="shared" ca="1" si="4"/>
        <v>#NAME?</v>
      </c>
      <c r="L10" s="55">
        <f>VLOOKUP(optionchain!$B10,oiFNO!$H$5:$T$200,13,0)</f>
        <v>812350</v>
      </c>
      <c r="M10" s="55">
        <f>VLOOKUP(optionchain!$B10,oiFNO!$H$5:$T$200,12,0)</f>
        <v>1531150</v>
      </c>
      <c r="N10" s="52">
        <f t="shared" si="5"/>
        <v>718800</v>
      </c>
      <c r="O10" s="5"/>
      <c r="P10" s="24">
        <f t="shared" si="6"/>
        <v>400.3</v>
      </c>
      <c r="Q10" s="57"/>
      <c r="R10" s="58"/>
      <c r="S10" s="59" t="e">
        <f t="shared" ca="1" si="7"/>
        <v>#NAME?</v>
      </c>
      <c r="T10" s="59" t="e">
        <f t="shared" ca="1" si="8"/>
        <v>#NAME?</v>
      </c>
      <c r="U10" s="60">
        <v>0.5</v>
      </c>
      <c r="V10" s="61" t="e">
        <f t="shared" ca="1" si="9"/>
        <v>#NAME?</v>
      </c>
      <c r="W10" s="61" t="e">
        <f t="shared" ca="1" si="10"/>
        <v>#NAME?</v>
      </c>
      <c r="X10" s="61" t="e">
        <f t="shared" ref="X10:Y10" ca="1" si="32">NORMSDIST(V10)</f>
        <v>#NAME?</v>
      </c>
      <c r="Y10" s="61" t="e">
        <f t="shared" ca="1" si="32"/>
        <v>#NAME?</v>
      </c>
      <c r="Z10" s="61" t="e">
        <f t="shared" ca="1" si="12"/>
        <v>#NAME?</v>
      </c>
      <c r="AA10" s="62" t="e">
        <f t="shared" ca="1" si="13"/>
        <v>#NAME?</v>
      </c>
      <c r="AB10" s="61" t="e">
        <f t="shared" ca="1" si="14"/>
        <v>#NAME?</v>
      </c>
      <c r="AC10" s="61" t="e">
        <f t="shared" ca="1" si="15"/>
        <v>#NAME?</v>
      </c>
      <c r="AD10" s="61" t="e">
        <f t="shared" ca="1" si="16"/>
        <v>#NAME?</v>
      </c>
      <c r="AE10" s="61" t="e">
        <f t="shared" ca="1" si="17"/>
        <v>#NAME?</v>
      </c>
      <c r="AF10" s="63" t="e">
        <f t="shared" ca="1" si="18"/>
        <v>#NAME?</v>
      </c>
      <c r="AG10" s="61">
        <v>0.5</v>
      </c>
      <c r="AH10" s="61" t="e">
        <f t="shared" ca="1" si="19"/>
        <v>#NAME?</v>
      </c>
      <c r="AI10" s="61" t="e">
        <f t="shared" ca="1" si="20"/>
        <v>#NAME?</v>
      </c>
      <c r="AJ10" s="61" t="e">
        <f t="shared" ref="AJ10:AK10" ca="1" si="33">NORMSDIST(AH10)</f>
        <v>#NAME?</v>
      </c>
      <c r="AK10" s="60" t="e">
        <f t="shared" ca="1" si="33"/>
        <v>#NAME?</v>
      </c>
      <c r="AL10" s="34" t="e">
        <f t="shared" ca="1" si="22"/>
        <v>#NAME?</v>
      </c>
      <c r="AM10" s="51" t="e">
        <f t="shared" ca="1" si="23"/>
        <v>#NAME?</v>
      </c>
      <c r="AN10" s="34" t="e">
        <f t="shared" ca="1" si="24"/>
        <v>#NAME?</v>
      </c>
      <c r="AO10" s="61" t="e">
        <f t="shared" ca="1" si="25"/>
        <v>#NAME?</v>
      </c>
      <c r="AP10" s="61" t="e">
        <f t="shared" ca="1" si="26"/>
        <v>#NAME?</v>
      </c>
      <c r="AQ10" s="61" t="e">
        <f t="shared" ca="1" si="27"/>
        <v>#NAME?</v>
      </c>
    </row>
    <row r="11" spans="1:43" ht="12" customHeight="1">
      <c r="A11" s="45">
        <f t="shared" si="0"/>
        <v>312.75</v>
      </c>
      <c r="B11" s="5" t="str">
        <f>optionchain!$J$2 &amp;" " &amp; I11</f>
        <v>44896 18200</v>
      </c>
      <c r="C11" s="5"/>
      <c r="D11" s="52">
        <f t="shared" si="1"/>
        <v>884700</v>
      </c>
      <c r="E11" s="53">
        <f>VLOOKUP(optionchain!$B11,oiFNO!$H$5:$T$200,6,0)</f>
        <v>1096950</v>
      </c>
      <c r="F11" s="53">
        <f>VLOOKUP(optionchain!$B11,oiFNO!$H$5:$T$200,7,0)</f>
        <v>212250</v>
      </c>
      <c r="G11" s="54" t="e">
        <f t="shared" ca="1" si="2"/>
        <v>#NAME?</v>
      </c>
      <c r="H11" s="53">
        <f>VLOOKUP(optionchain!$B11,oiFNO!$H$5:$T$200,3,0)</f>
        <v>346</v>
      </c>
      <c r="I11" s="52">
        <f t="shared" si="3"/>
        <v>18200</v>
      </c>
      <c r="J11" s="55">
        <f>VLOOKUP(optionchain!$B11,oiFNO!$H$5:$T$200,9,0)</f>
        <v>13.8</v>
      </c>
      <c r="K11" s="56" t="e">
        <f t="shared" ca="1" si="4"/>
        <v>#NAME?</v>
      </c>
      <c r="L11" s="55">
        <f>VLOOKUP(optionchain!$B11,oiFNO!$H$5:$T$200,13,0)</f>
        <v>1326150</v>
      </c>
      <c r="M11" s="55">
        <f>VLOOKUP(optionchain!$B11,oiFNO!$H$5:$T$200,12,0)</f>
        <v>4475350</v>
      </c>
      <c r="N11" s="52">
        <f t="shared" si="5"/>
        <v>3149200</v>
      </c>
      <c r="O11" s="5"/>
      <c r="P11" s="24">
        <f t="shared" si="6"/>
        <v>359.8</v>
      </c>
      <c r="Q11" s="57"/>
      <c r="R11" s="58"/>
      <c r="S11" s="59" t="e">
        <f t="shared" ca="1" si="7"/>
        <v>#NAME?</v>
      </c>
      <c r="T11" s="59" t="e">
        <f t="shared" ca="1" si="8"/>
        <v>#NAME?</v>
      </c>
      <c r="U11" s="60">
        <v>0.5</v>
      </c>
      <c r="V11" s="61" t="e">
        <f t="shared" ca="1" si="9"/>
        <v>#NAME?</v>
      </c>
      <c r="W11" s="61" t="e">
        <f t="shared" ca="1" si="10"/>
        <v>#NAME?</v>
      </c>
      <c r="X11" s="61" t="e">
        <f t="shared" ref="X11:Y11" ca="1" si="34">NORMSDIST(V11)</f>
        <v>#NAME?</v>
      </c>
      <c r="Y11" s="61" t="e">
        <f t="shared" ca="1" si="34"/>
        <v>#NAME?</v>
      </c>
      <c r="Z11" s="61" t="e">
        <f t="shared" ca="1" si="12"/>
        <v>#NAME?</v>
      </c>
      <c r="AA11" s="62" t="e">
        <f t="shared" ca="1" si="13"/>
        <v>#NAME?</v>
      </c>
      <c r="AB11" s="61" t="e">
        <f t="shared" ca="1" si="14"/>
        <v>#NAME?</v>
      </c>
      <c r="AC11" s="61" t="e">
        <f t="shared" ca="1" si="15"/>
        <v>#NAME?</v>
      </c>
      <c r="AD11" s="61" t="e">
        <f t="shared" ca="1" si="16"/>
        <v>#NAME?</v>
      </c>
      <c r="AE11" s="61" t="e">
        <f t="shared" ca="1" si="17"/>
        <v>#NAME?</v>
      </c>
      <c r="AF11" s="63" t="e">
        <f t="shared" ca="1" si="18"/>
        <v>#NAME?</v>
      </c>
      <c r="AG11" s="61">
        <v>0.5</v>
      </c>
      <c r="AH11" s="61" t="e">
        <f t="shared" ca="1" si="19"/>
        <v>#NAME?</v>
      </c>
      <c r="AI11" s="61" t="e">
        <f t="shared" ca="1" si="20"/>
        <v>#NAME?</v>
      </c>
      <c r="AJ11" s="61" t="e">
        <f t="shared" ref="AJ11:AK11" ca="1" si="35">NORMSDIST(AH11)</f>
        <v>#NAME?</v>
      </c>
      <c r="AK11" s="60" t="e">
        <f t="shared" ca="1" si="35"/>
        <v>#NAME?</v>
      </c>
      <c r="AL11" s="34" t="e">
        <f t="shared" ca="1" si="22"/>
        <v>#NAME?</v>
      </c>
      <c r="AM11" s="51" t="e">
        <f t="shared" ca="1" si="23"/>
        <v>#NAME?</v>
      </c>
      <c r="AN11" s="34" t="e">
        <f t="shared" ca="1" si="24"/>
        <v>#NAME?</v>
      </c>
      <c r="AO11" s="61" t="e">
        <f t="shared" ca="1" si="25"/>
        <v>#NAME?</v>
      </c>
      <c r="AP11" s="61" t="e">
        <f t="shared" ca="1" si="26"/>
        <v>#NAME?</v>
      </c>
      <c r="AQ11" s="61" t="e">
        <f t="shared" ca="1" si="27"/>
        <v>#NAME?</v>
      </c>
    </row>
    <row r="12" spans="1:43" ht="12" customHeight="1">
      <c r="A12" s="45">
        <f t="shared" si="0"/>
        <v>262.75</v>
      </c>
      <c r="B12" s="5" t="str">
        <f>optionchain!$J$2 &amp;" " &amp; I12</f>
        <v>44896 18250</v>
      </c>
      <c r="C12" s="5"/>
      <c r="D12" s="52">
        <f t="shared" si="1"/>
        <v>142700</v>
      </c>
      <c r="E12" s="53">
        <f>VLOOKUP(optionchain!$B12,oiFNO!$H$5:$T$200,6,0)</f>
        <v>127100</v>
      </c>
      <c r="F12" s="53">
        <f>VLOOKUP(optionchain!$B12,oiFNO!$H$5:$T$200,7,0)</f>
        <v>-15600</v>
      </c>
      <c r="G12" s="54" t="e">
        <f t="shared" ca="1" si="2"/>
        <v>#NAME?</v>
      </c>
      <c r="H12" s="53">
        <f>VLOOKUP(optionchain!$B12,oiFNO!$H$5:$T$200,3,0)</f>
        <v>299.2</v>
      </c>
      <c r="I12" s="52">
        <f t="shared" si="3"/>
        <v>18250</v>
      </c>
      <c r="J12" s="55">
        <f>VLOOKUP(optionchain!$B12,oiFNO!$H$5:$T$200,9,0)</f>
        <v>18</v>
      </c>
      <c r="K12" s="56" t="e">
        <f t="shared" ca="1" si="4"/>
        <v>#NAME?</v>
      </c>
      <c r="L12" s="55">
        <f>VLOOKUP(optionchain!$B12,oiFNO!$H$5:$T$200,13,0)</f>
        <v>593550</v>
      </c>
      <c r="M12" s="55">
        <f>VLOOKUP(optionchain!$B12,oiFNO!$H$5:$T$200,12,0)</f>
        <v>1736950</v>
      </c>
      <c r="N12" s="52">
        <f t="shared" si="5"/>
        <v>1143400</v>
      </c>
      <c r="O12" s="5"/>
      <c r="P12" s="24">
        <f t="shared" si="6"/>
        <v>317.2</v>
      </c>
      <c r="Q12" s="57"/>
      <c r="R12" s="58"/>
      <c r="S12" s="59" t="e">
        <f t="shared" ca="1" si="7"/>
        <v>#NAME?</v>
      </c>
      <c r="T12" s="59" t="e">
        <f t="shared" ca="1" si="8"/>
        <v>#NAME?</v>
      </c>
      <c r="U12" s="60">
        <v>0.5</v>
      </c>
      <c r="V12" s="61" t="e">
        <f t="shared" ca="1" si="9"/>
        <v>#NAME?</v>
      </c>
      <c r="W12" s="61" t="e">
        <f t="shared" ca="1" si="10"/>
        <v>#NAME?</v>
      </c>
      <c r="X12" s="61" t="e">
        <f t="shared" ref="X12:Y12" ca="1" si="36">NORMSDIST(V12)</f>
        <v>#NAME?</v>
      </c>
      <c r="Y12" s="61" t="e">
        <f t="shared" ca="1" si="36"/>
        <v>#NAME?</v>
      </c>
      <c r="Z12" s="61" t="e">
        <f t="shared" ca="1" si="12"/>
        <v>#NAME?</v>
      </c>
      <c r="AA12" s="62" t="e">
        <f t="shared" ca="1" si="13"/>
        <v>#NAME?</v>
      </c>
      <c r="AB12" s="61" t="e">
        <f t="shared" ca="1" si="14"/>
        <v>#NAME?</v>
      </c>
      <c r="AC12" s="61" t="e">
        <f t="shared" ca="1" si="15"/>
        <v>#NAME?</v>
      </c>
      <c r="AD12" s="61" t="e">
        <f t="shared" ca="1" si="16"/>
        <v>#NAME?</v>
      </c>
      <c r="AE12" s="61" t="e">
        <f t="shared" ca="1" si="17"/>
        <v>#NAME?</v>
      </c>
      <c r="AF12" s="63" t="e">
        <f t="shared" ca="1" si="18"/>
        <v>#NAME?</v>
      </c>
      <c r="AG12" s="61">
        <v>0.5</v>
      </c>
      <c r="AH12" s="61" t="e">
        <f t="shared" ca="1" si="19"/>
        <v>#NAME?</v>
      </c>
      <c r="AI12" s="61" t="e">
        <f t="shared" ca="1" si="20"/>
        <v>#NAME?</v>
      </c>
      <c r="AJ12" s="61" t="e">
        <f t="shared" ref="AJ12:AK12" ca="1" si="37">NORMSDIST(AH12)</f>
        <v>#NAME?</v>
      </c>
      <c r="AK12" s="60" t="e">
        <f t="shared" ca="1" si="37"/>
        <v>#NAME?</v>
      </c>
      <c r="AL12" s="34" t="e">
        <f t="shared" ca="1" si="22"/>
        <v>#NAME?</v>
      </c>
      <c r="AM12" s="51" t="e">
        <f t="shared" ca="1" si="23"/>
        <v>#NAME?</v>
      </c>
      <c r="AN12" s="34" t="e">
        <f t="shared" ca="1" si="24"/>
        <v>#NAME?</v>
      </c>
      <c r="AO12" s="61" t="e">
        <f t="shared" ca="1" si="25"/>
        <v>#NAME?</v>
      </c>
      <c r="AP12" s="61" t="e">
        <f t="shared" ca="1" si="26"/>
        <v>#NAME?</v>
      </c>
      <c r="AQ12" s="61" t="e">
        <f t="shared" ca="1" si="27"/>
        <v>#NAME?</v>
      </c>
    </row>
    <row r="13" spans="1:43" ht="12" customHeight="1">
      <c r="A13" s="45">
        <f t="shared" si="0"/>
        <v>212.75</v>
      </c>
      <c r="B13" s="5" t="str">
        <f>optionchain!$J$2 &amp;" " &amp; I13</f>
        <v>44896 18300</v>
      </c>
      <c r="C13" s="5"/>
      <c r="D13" s="52">
        <f t="shared" si="1"/>
        <v>3969050</v>
      </c>
      <c r="E13" s="53">
        <f>VLOOKUP(optionchain!$B13,oiFNO!$H$5:$T$200,6,0)</f>
        <v>3115900</v>
      </c>
      <c r="F13" s="53">
        <f>VLOOKUP(optionchain!$B13,oiFNO!$H$5:$T$200,7,0)</f>
        <v>-853150</v>
      </c>
      <c r="G13" s="54" t="e">
        <f t="shared" ca="1" si="2"/>
        <v>#NAME?</v>
      </c>
      <c r="H13" s="53">
        <f>VLOOKUP(optionchain!$B13,oiFNO!$H$5:$T$200,3,0)</f>
        <v>253.5</v>
      </c>
      <c r="I13" s="52">
        <f t="shared" si="3"/>
        <v>18300</v>
      </c>
      <c r="J13" s="55">
        <f>VLOOKUP(optionchain!$B13,oiFNO!$H$5:$T$200,9,0)</f>
        <v>23.9</v>
      </c>
      <c r="K13" s="56" t="e">
        <f t="shared" ca="1" si="4"/>
        <v>#NAME?</v>
      </c>
      <c r="L13" s="55">
        <f>VLOOKUP(optionchain!$B13,oiFNO!$H$5:$T$200,13,0)</f>
        <v>247150</v>
      </c>
      <c r="M13" s="55">
        <f>VLOOKUP(optionchain!$B13,oiFNO!$H$5:$T$200,12,0)</f>
        <v>7209900</v>
      </c>
      <c r="N13" s="52">
        <f t="shared" si="5"/>
        <v>6962750</v>
      </c>
      <c r="O13" s="5"/>
      <c r="P13" s="24">
        <f t="shared" si="6"/>
        <v>277.39999999999998</v>
      </c>
      <c r="Q13" s="57"/>
      <c r="R13" s="58"/>
      <c r="S13" s="59" t="e">
        <f t="shared" ca="1" si="7"/>
        <v>#NAME?</v>
      </c>
      <c r="T13" s="59" t="e">
        <f t="shared" ca="1" si="8"/>
        <v>#NAME?</v>
      </c>
      <c r="U13" s="60">
        <v>0.5</v>
      </c>
      <c r="V13" s="61" t="e">
        <f t="shared" ca="1" si="9"/>
        <v>#NAME?</v>
      </c>
      <c r="W13" s="61" t="e">
        <f t="shared" ca="1" si="10"/>
        <v>#NAME?</v>
      </c>
      <c r="X13" s="61" t="e">
        <f t="shared" ref="X13:Y13" ca="1" si="38">NORMSDIST(V13)</f>
        <v>#NAME?</v>
      </c>
      <c r="Y13" s="61" t="e">
        <f t="shared" ca="1" si="38"/>
        <v>#NAME?</v>
      </c>
      <c r="Z13" s="61" t="e">
        <f t="shared" ca="1" si="12"/>
        <v>#NAME?</v>
      </c>
      <c r="AA13" s="62" t="e">
        <f t="shared" ca="1" si="13"/>
        <v>#NAME?</v>
      </c>
      <c r="AB13" s="61" t="e">
        <f t="shared" ca="1" si="14"/>
        <v>#NAME?</v>
      </c>
      <c r="AC13" s="61" t="e">
        <f t="shared" ca="1" si="15"/>
        <v>#NAME?</v>
      </c>
      <c r="AD13" s="61" t="e">
        <f t="shared" ca="1" si="16"/>
        <v>#NAME?</v>
      </c>
      <c r="AE13" s="61" t="e">
        <f t="shared" ca="1" si="17"/>
        <v>#NAME?</v>
      </c>
      <c r="AF13" s="63" t="e">
        <f t="shared" ca="1" si="18"/>
        <v>#NAME?</v>
      </c>
      <c r="AG13" s="61">
        <v>0.5</v>
      </c>
      <c r="AH13" s="61" t="e">
        <f t="shared" ca="1" si="19"/>
        <v>#NAME?</v>
      </c>
      <c r="AI13" s="61" t="e">
        <f t="shared" ca="1" si="20"/>
        <v>#NAME?</v>
      </c>
      <c r="AJ13" s="61" t="e">
        <f t="shared" ref="AJ13:AK13" ca="1" si="39">NORMSDIST(AH13)</f>
        <v>#NAME?</v>
      </c>
      <c r="AK13" s="60" t="e">
        <f t="shared" ca="1" si="39"/>
        <v>#NAME?</v>
      </c>
      <c r="AL13" s="34" t="e">
        <f t="shared" ca="1" si="22"/>
        <v>#NAME?</v>
      </c>
      <c r="AM13" s="51" t="e">
        <f t="shared" ca="1" si="23"/>
        <v>#NAME?</v>
      </c>
      <c r="AN13" s="34" t="e">
        <f t="shared" ca="1" si="24"/>
        <v>#NAME?</v>
      </c>
      <c r="AO13" s="61" t="e">
        <f t="shared" ca="1" si="25"/>
        <v>#NAME?</v>
      </c>
      <c r="AP13" s="61" t="e">
        <f t="shared" ca="1" si="26"/>
        <v>#NAME?</v>
      </c>
      <c r="AQ13" s="61" t="e">
        <f t="shared" ca="1" si="27"/>
        <v>#NAME?</v>
      </c>
    </row>
    <row r="14" spans="1:43" ht="12" customHeight="1">
      <c r="A14" s="45">
        <f t="shared" si="0"/>
        <v>162.75</v>
      </c>
      <c r="B14" s="5" t="str">
        <f>optionchain!$J$2 &amp;" " &amp; I14</f>
        <v>44896 18350</v>
      </c>
      <c r="C14" s="5"/>
      <c r="D14" s="52">
        <f t="shared" si="1"/>
        <v>436550</v>
      </c>
      <c r="E14" s="53">
        <f>VLOOKUP(optionchain!$B14,oiFNO!$H$5:$T$200,6,0)</f>
        <v>369350</v>
      </c>
      <c r="F14" s="53">
        <f>VLOOKUP(optionchain!$B14,oiFNO!$H$5:$T$200,7,0)</f>
        <v>-67200</v>
      </c>
      <c r="G14" s="54" t="e">
        <f t="shared" ca="1" si="2"/>
        <v>#NAME?</v>
      </c>
      <c r="H14" s="53">
        <f>VLOOKUP(optionchain!$B14,oiFNO!$H$5:$T$200,3,0)</f>
        <v>213.8</v>
      </c>
      <c r="I14" s="52">
        <f t="shared" si="3"/>
        <v>18350</v>
      </c>
      <c r="J14" s="55">
        <f>VLOOKUP(optionchain!$B14,oiFNO!$H$5:$T$200,9,0)</f>
        <v>31.45</v>
      </c>
      <c r="K14" s="56" t="e">
        <f t="shared" ca="1" si="4"/>
        <v>#NAME?</v>
      </c>
      <c r="L14" s="55">
        <f>VLOOKUP(optionchain!$B14,oiFNO!$H$5:$T$200,13,0)</f>
        <v>167900</v>
      </c>
      <c r="M14" s="55">
        <f>VLOOKUP(optionchain!$B14,oiFNO!$H$5:$T$200,12,0)</f>
        <v>2150400</v>
      </c>
      <c r="N14" s="52">
        <f t="shared" si="5"/>
        <v>1982500</v>
      </c>
      <c r="O14" s="5"/>
      <c r="P14" s="24">
        <f t="shared" si="6"/>
        <v>245.25</v>
      </c>
      <c r="Q14" s="57"/>
      <c r="R14" s="58"/>
      <c r="S14" s="59" t="e">
        <f t="shared" ca="1" si="7"/>
        <v>#NAME?</v>
      </c>
      <c r="T14" s="59" t="e">
        <f t="shared" ca="1" si="8"/>
        <v>#NAME?</v>
      </c>
      <c r="U14" s="60">
        <v>0.5</v>
      </c>
      <c r="V14" s="61" t="e">
        <f t="shared" ca="1" si="9"/>
        <v>#NAME?</v>
      </c>
      <c r="W14" s="61" t="e">
        <f t="shared" ca="1" si="10"/>
        <v>#NAME?</v>
      </c>
      <c r="X14" s="61" t="e">
        <f t="shared" ref="X14:Y14" ca="1" si="40">NORMSDIST(V14)</f>
        <v>#NAME?</v>
      </c>
      <c r="Y14" s="61" t="e">
        <f t="shared" ca="1" si="40"/>
        <v>#NAME?</v>
      </c>
      <c r="Z14" s="61" t="e">
        <f t="shared" ca="1" si="12"/>
        <v>#NAME?</v>
      </c>
      <c r="AA14" s="62" t="e">
        <f t="shared" ca="1" si="13"/>
        <v>#NAME?</v>
      </c>
      <c r="AB14" s="61" t="e">
        <f t="shared" ca="1" si="14"/>
        <v>#NAME?</v>
      </c>
      <c r="AC14" s="61" t="e">
        <f t="shared" ca="1" si="15"/>
        <v>#NAME?</v>
      </c>
      <c r="AD14" s="61" t="e">
        <f t="shared" ca="1" si="16"/>
        <v>#NAME?</v>
      </c>
      <c r="AE14" s="61" t="e">
        <f t="shared" ca="1" si="17"/>
        <v>#NAME?</v>
      </c>
      <c r="AF14" s="63" t="e">
        <f t="shared" ca="1" si="18"/>
        <v>#NAME?</v>
      </c>
      <c r="AG14" s="61">
        <v>0.5</v>
      </c>
      <c r="AH14" s="61" t="e">
        <f t="shared" ca="1" si="19"/>
        <v>#NAME?</v>
      </c>
      <c r="AI14" s="61" t="e">
        <f t="shared" ca="1" si="20"/>
        <v>#NAME?</v>
      </c>
      <c r="AJ14" s="61" t="e">
        <f t="shared" ref="AJ14:AK14" ca="1" si="41">NORMSDIST(AH14)</f>
        <v>#NAME?</v>
      </c>
      <c r="AK14" s="60" t="e">
        <f t="shared" ca="1" si="41"/>
        <v>#NAME?</v>
      </c>
      <c r="AL14" s="34" t="e">
        <f t="shared" ca="1" si="22"/>
        <v>#NAME?</v>
      </c>
      <c r="AM14" s="51" t="e">
        <f t="shared" ca="1" si="23"/>
        <v>#NAME?</v>
      </c>
      <c r="AN14" s="34" t="e">
        <f t="shared" ca="1" si="24"/>
        <v>#NAME?</v>
      </c>
      <c r="AO14" s="61" t="e">
        <f t="shared" ca="1" si="25"/>
        <v>#NAME?</v>
      </c>
      <c r="AP14" s="61" t="e">
        <f t="shared" ca="1" si="26"/>
        <v>#NAME?</v>
      </c>
      <c r="AQ14" s="61" t="e">
        <f t="shared" ca="1" si="27"/>
        <v>#NAME?</v>
      </c>
    </row>
    <row r="15" spans="1:43" ht="12" customHeight="1">
      <c r="A15" s="45">
        <f t="shared" si="0"/>
        <v>112.75</v>
      </c>
      <c r="B15" s="5" t="str">
        <f>optionchain!$J$2 &amp;" " &amp; I15</f>
        <v>44896 18400</v>
      </c>
      <c r="C15" s="5"/>
      <c r="D15" s="52">
        <f t="shared" si="1"/>
        <v>3237000</v>
      </c>
      <c r="E15" s="53">
        <f>VLOOKUP(optionchain!$B15,oiFNO!$H$5:$T$200,6,0)</f>
        <v>2796500</v>
      </c>
      <c r="F15" s="53">
        <f>VLOOKUP(optionchain!$B15,oiFNO!$H$5:$T$200,7,0)</f>
        <v>-440500</v>
      </c>
      <c r="G15" s="54" t="e">
        <f t="shared" ca="1" si="2"/>
        <v>#NAME?</v>
      </c>
      <c r="H15" s="53">
        <f>VLOOKUP(optionchain!$B15,oiFNO!$H$5:$T$200,3,0)</f>
        <v>171.15</v>
      </c>
      <c r="I15" s="52">
        <f t="shared" si="3"/>
        <v>18400</v>
      </c>
      <c r="J15" s="55">
        <f>VLOOKUP(optionchain!$B15,oiFNO!$H$5:$T$200,9,0)</f>
        <v>40.25</v>
      </c>
      <c r="K15" s="56" t="e">
        <f t="shared" ca="1" si="4"/>
        <v>#NAME?</v>
      </c>
      <c r="L15" s="55">
        <f>VLOOKUP(optionchain!$B15,oiFNO!$H$5:$T$200,13,0)</f>
        <v>1681750</v>
      </c>
      <c r="M15" s="55">
        <f>VLOOKUP(optionchain!$B15,oiFNO!$H$5:$T$200,12,0)</f>
        <v>6093600</v>
      </c>
      <c r="N15" s="52">
        <f t="shared" si="5"/>
        <v>4411850</v>
      </c>
      <c r="O15" s="5"/>
      <c r="P15" s="24">
        <f t="shared" si="6"/>
        <v>211.4</v>
      </c>
      <c r="Q15" s="57"/>
      <c r="R15" s="58"/>
      <c r="S15" s="59" t="e">
        <f t="shared" ca="1" si="7"/>
        <v>#NAME?</v>
      </c>
      <c r="T15" s="59" t="e">
        <f t="shared" ca="1" si="8"/>
        <v>#NAME?</v>
      </c>
      <c r="U15" s="60">
        <v>0.5</v>
      </c>
      <c r="V15" s="61" t="e">
        <f t="shared" ca="1" si="9"/>
        <v>#NAME?</v>
      </c>
      <c r="W15" s="61" t="e">
        <f t="shared" ca="1" si="10"/>
        <v>#NAME?</v>
      </c>
      <c r="X15" s="61" t="e">
        <f t="shared" ref="X15:Y15" ca="1" si="42">NORMSDIST(V15)</f>
        <v>#NAME?</v>
      </c>
      <c r="Y15" s="61" t="e">
        <f t="shared" ca="1" si="42"/>
        <v>#NAME?</v>
      </c>
      <c r="Z15" s="61" t="e">
        <f t="shared" ca="1" si="12"/>
        <v>#NAME?</v>
      </c>
      <c r="AA15" s="62" t="e">
        <f t="shared" ca="1" si="13"/>
        <v>#NAME?</v>
      </c>
      <c r="AB15" s="61" t="e">
        <f t="shared" ca="1" si="14"/>
        <v>#NAME?</v>
      </c>
      <c r="AC15" s="61" t="e">
        <f t="shared" ca="1" si="15"/>
        <v>#NAME?</v>
      </c>
      <c r="AD15" s="61" t="e">
        <f t="shared" ca="1" si="16"/>
        <v>#NAME?</v>
      </c>
      <c r="AE15" s="61" t="e">
        <f t="shared" ca="1" si="17"/>
        <v>#NAME?</v>
      </c>
      <c r="AF15" s="63" t="e">
        <f t="shared" ca="1" si="18"/>
        <v>#NAME?</v>
      </c>
      <c r="AG15" s="61">
        <v>0.5</v>
      </c>
      <c r="AH15" s="61" t="e">
        <f t="shared" ca="1" si="19"/>
        <v>#NAME?</v>
      </c>
      <c r="AI15" s="61" t="e">
        <f t="shared" ca="1" si="20"/>
        <v>#NAME?</v>
      </c>
      <c r="AJ15" s="61" t="e">
        <f t="shared" ref="AJ15:AK15" ca="1" si="43">NORMSDIST(AH15)</f>
        <v>#NAME?</v>
      </c>
      <c r="AK15" s="60" t="e">
        <f t="shared" ca="1" si="43"/>
        <v>#NAME?</v>
      </c>
      <c r="AL15" s="34" t="e">
        <f t="shared" ca="1" si="22"/>
        <v>#NAME?</v>
      </c>
      <c r="AM15" s="51" t="e">
        <f t="shared" ca="1" si="23"/>
        <v>#NAME?</v>
      </c>
      <c r="AN15" s="34" t="e">
        <f t="shared" ca="1" si="24"/>
        <v>#NAME?</v>
      </c>
      <c r="AO15" s="61" t="e">
        <f t="shared" ca="1" si="25"/>
        <v>#NAME?</v>
      </c>
      <c r="AP15" s="61" t="e">
        <f t="shared" ca="1" si="26"/>
        <v>#NAME?</v>
      </c>
      <c r="AQ15" s="61" t="e">
        <f t="shared" ca="1" si="27"/>
        <v>#NAME?</v>
      </c>
    </row>
    <row r="16" spans="1:43" ht="12" customHeight="1">
      <c r="A16" s="45">
        <f t="shared" si="0"/>
        <v>62.75</v>
      </c>
      <c r="B16" s="5" t="str">
        <f>optionchain!$J$2 &amp;" " &amp; I16</f>
        <v>44896 18450</v>
      </c>
      <c r="C16" s="5"/>
      <c r="D16" s="52">
        <f t="shared" si="1"/>
        <v>537050</v>
      </c>
      <c r="E16" s="53">
        <f>VLOOKUP(optionchain!$B16,oiFNO!$H$5:$T$200,6,0)</f>
        <v>681850</v>
      </c>
      <c r="F16" s="53">
        <f>VLOOKUP(optionchain!$B16,oiFNO!$H$5:$T$200,7,0)</f>
        <v>144800</v>
      </c>
      <c r="G16" s="54" t="e">
        <f t="shared" ca="1" si="2"/>
        <v>#NAME?</v>
      </c>
      <c r="H16" s="53">
        <f>VLOOKUP(optionchain!$B16,oiFNO!$H$5:$T$200,3,0)</f>
        <v>136.5</v>
      </c>
      <c r="I16" s="52">
        <f t="shared" si="3"/>
        <v>18450</v>
      </c>
      <c r="J16" s="55">
        <f>VLOOKUP(optionchain!$B16,oiFNO!$H$5:$T$200,9,0)</f>
        <v>55</v>
      </c>
      <c r="K16" s="56" t="e">
        <f t="shared" ca="1" si="4"/>
        <v>#NAME?</v>
      </c>
      <c r="L16" s="55">
        <f>VLOOKUP(optionchain!$B16,oiFNO!$H$5:$T$200,13,0)</f>
        <v>926900</v>
      </c>
      <c r="M16" s="55">
        <f>VLOOKUP(optionchain!$B16,oiFNO!$H$5:$T$200,12,0)</f>
        <v>1745050</v>
      </c>
      <c r="N16" s="52">
        <f t="shared" si="5"/>
        <v>818150</v>
      </c>
      <c r="O16" s="5"/>
      <c r="P16" s="24">
        <f t="shared" si="6"/>
        <v>191.5</v>
      </c>
      <c r="Q16" s="57"/>
      <c r="R16" s="58"/>
      <c r="S16" s="59" t="e">
        <f t="shared" ca="1" si="7"/>
        <v>#NAME?</v>
      </c>
      <c r="T16" s="59" t="e">
        <f t="shared" ca="1" si="8"/>
        <v>#NAME?</v>
      </c>
      <c r="U16" s="60">
        <v>0.5</v>
      </c>
      <c r="V16" s="61" t="e">
        <f t="shared" ca="1" si="9"/>
        <v>#NAME?</v>
      </c>
      <c r="W16" s="61" t="e">
        <f t="shared" ca="1" si="10"/>
        <v>#NAME?</v>
      </c>
      <c r="X16" s="61" t="e">
        <f t="shared" ref="X16:Y16" ca="1" si="44">NORMSDIST(V16)</f>
        <v>#NAME?</v>
      </c>
      <c r="Y16" s="61" t="e">
        <f t="shared" ca="1" si="44"/>
        <v>#NAME?</v>
      </c>
      <c r="Z16" s="61" t="e">
        <f t="shared" ca="1" si="12"/>
        <v>#NAME?</v>
      </c>
      <c r="AA16" s="62" t="e">
        <f t="shared" ca="1" si="13"/>
        <v>#NAME?</v>
      </c>
      <c r="AB16" s="61" t="e">
        <f t="shared" ca="1" si="14"/>
        <v>#NAME?</v>
      </c>
      <c r="AC16" s="61" t="e">
        <f t="shared" ca="1" si="15"/>
        <v>#NAME?</v>
      </c>
      <c r="AD16" s="61" t="e">
        <f t="shared" ca="1" si="16"/>
        <v>#NAME?</v>
      </c>
      <c r="AE16" s="61" t="e">
        <f t="shared" ca="1" si="17"/>
        <v>#NAME?</v>
      </c>
      <c r="AF16" s="63" t="e">
        <f t="shared" ca="1" si="18"/>
        <v>#NAME?</v>
      </c>
      <c r="AG16" s="61">
        <v>0.5</v>
      </c>
      <c r="AH16" s="61" t="e">
        <f t="shared" ca="1" si="19"/>
        <v>#NAME?</v>
      </c>
      <c r="AI16" s="61" t="e">
        <f t="shared" ca="1" si="20"/>
        <v>#NAME?</v>
      </c>
      <c r="AJ16" s="61" t="e">
        <f t="shared" ref="AJ16:AK16" ca="1" si="45">NORMSDIST(AH16)</f>
        <v>#NAME?</v>
      </c>
      <c r="AK16" s="60" t="e">
        <f t="shared" ca="1" si="45"/>
        <v>#NAME?</v>
      </c>
      <c r="AL16" s="34" t="e">
        <f t="shared" ca="1" si="22"/>
        <v>#NAME?</v>
      </c>
      <c r="AM16" s="51" t="e">
        <f t="shared" ca="1" si="23"/>
        <v>#NAME?</v>
      </c>
      <c r="AN16" s="34" t="e">
        <f t="shared" ca="1" si="24"/>
        <v>#NAME?</v>
      </c>
      <c r="AO16" s="61" t="e">
        <f t="shared" ca="1" si="25"/>
        <v>#NAME?</v>
      </c>
      <c r="AP16" s="61" t="e">
        <f t="shared" ca="1" si="26"/>
        <v>#NAME?</v>
      </c>
      <c r="AQ16" s="61" t="e">
        <f t="shared" ca="1" si="27"/>
        <v>#NAME?</v>
      </c>
    </row>
    <row r="17" spans="1:43" ht="12" customHeight="1">
      <c r="A17" s="45">
        <f t="shared" si="0"/>
        <v>12.75</v>
      </c>
      <c r="B17" s="5" t="str">
        <f>optionchain!$J$2 &amp;" " &amp; I17</f>
        <v>44896 18500</v>
      </c>
      <c r="C17" s="5"/>
      <c r="D17" s="52">
        <f t="shared" si="1"/>
        <v>3834200</v>
      </c>
      <c r="E17" s="53">
        <f>VLOOKUP(optionchain!$B17,oiFNO!$H$5:$T$200,6,0)</f>
        <v>6791600</v>
      </c>
      <c r="F17" s="53">
        <f>VLOOKUP(optionchain!$B17,oiFNO!$H$5:$T$200,7,0)</f>
        <v>2957400</v>
      </c>
      <c r="G17" s="54" t="e">
        <f t="shared" ca="1" si="2"/>
        <v>#NAME?</v>
      </c>
      <c r="H17" s="53">
        <f>VLOOKUP(optionchain!$B17,oiFNO!$H$5:$T$200,3,0)</f>
        <v>103</v>
      </c>
      <c r="I17" s="64">
        <f>ROUND(I6/F2,0)*F2</f>
        <v>18500</v>
      </c>
      <c r="J17" s="55">
        <f>VLOOKUP(optionchain!$B17,oiFNO!$H$5:$T$200,9,0)</f>
        <v>71.599999999999994</v>
      </c>
      <c r="K17" s="56" t="e">
        <f t="shared" ca="1" si="4"/>
        <v>#NAME?</v>
      </c>
      <c r="L17" s="55">
        <f>VLOOKUP(optionchain!$B17,oiFNO!$H$5:$T$200,13,0)</f>
        <v>2619800</v>
      </c>
      <c r="M17" s="55">
        <f>VLOOKUP(optionchain!$B17,oiFNO!$H$5:$T$200,12,0)</f>
        <v>6205200</v>
      </c>
      <c r="N17" s="52">
        <f t="shared" si="5"/>
        <v>3585400</v>
      </c>
      <c r="O17" s="45">
        <f t="shared" ref="O17:O27" si="46">I17-$I$6</f>
        <v>-12.75</v>
      </c>
      <c r="P17" s="65">
        <f t="shared" si="6"/>
        <v>174.6</v>
      </c>
      <c r="Q17" s="57"/>
      <c r="R17" s="58"/>
      <c r="S17" s="59" t="e">
        <f t="shared" ca="1" si="7"/>
        <v>#NAME?</v>
      </c>
      <c r="T17" s="66" t="e">
        <f t="shared" ca="1" si="8"/>
        <v>#NAME?</v>
      </c>
      <c r="U17" s="67">
        <v>0.5</v>
      </c>
      <c r="V17" s="62" t="e">
        <f t="shared" ca="1" si="9"/>
        <v>#NAME?</v>
      </c>
      <c r="W17" s="62" t="e">
        <f t="shared" ca="1" si="10"/>
        <v>#NAME?</v>
      </c>
      <c r="X17" s="62" t="e">
        <f t="shared" ref="X17:Y17" ca="1" si="47">NORMSDIST(V17)</f>
        <v>#NAME?</v>
      </c>
      <c r="Y17" s="62" t="e">
        <f t="shared" ca="1" si="47"/>
        <v>#NAME?</v>
      </c>
      <c r="Z17" s="62" t="e">
        <f t="shared" ca="1" si="12"/>
        <v>#NAME?</v>
      </c>
      <c r="AA17" s="62" t="e">
        <f t="shared" ca="1" si="13"/>
        <v>#NAME?</v>
      </c>
      <c r="AB17" s="62" t="e">
        <f t="shared" ca="1" si="14"/>
        <v>#NAME?</v>
      </c>
      <c r="AC17" s="62" t="e">
        <f t="shared" ca="1" si="15"/>
        <v>#NAME?</v>
      </c>
      <c r="AD17" s="62" t="e">
        <f t="shared" ca="1" si="16"/>
        <v>#NAME?</v>
      </c>
      <c r="AE17" s="62" t="e">
        <f t="shared" ca="1" si="17"/>
        <v>#NAME?</v>
      </c>
      <c r="AF17" s="68" t="e">
        <f t="shared" ca="1" si="18"/>
        <v>#NAME?</v>
      </c>
      <c r="AG17" s="62">
        <v>0.5</v>
      </c>
      <c r="AH17" s="62" t="e">
        <f t="shared" ca="1" si="19"/>
        <v>#NAME?</v>
      </c>
      <c r="AI17" s="62" t="e">
        <f t="shared" ca="1" si="20"/>
        <v>#NAME?</v>
      </c>
      <c r="AJ17" s="62" t="e">
        <f t="shared" ref="AJ17:AK17" ca="1" si="48">NORMSDIST(AH17)</f>
        <v>#NAME?</v>
      </c>
      <c r="AK17" s="67" t="e">
        <f t="shared" ca="1" si="48"/>
        <v>#NAME?</v>
      </c>
      <c r="AL17" s="51" t="e">
        <f t="shared" ca="1" si="22"/>
        <v>#NAME?</v>
      </c>
      <c r="AM17" s="51" t="e">
        <f t="shared" ca="1" si="23"/>
        <v>#NAME?</v>
      </c>
      <c r="AN17" s="51" t="e">
        <f t="shared" ca="1" si="24"/>
        <v>#NAME?</v>
      </c>
      <c r="AO17" s="62" t="e">
        <f t="shared" ca="1" si="25"/>
        <v>#NAME?</v>
      </c>
      <c r="AP17" s="62" t="e">
        <f t="shared" ca="1" si="26"/>
        <v>#NAME?</v>
      </c>
      <c r="AQ17" s="62" t="e">
        <f t="shared" ca="1" si="27"/>
        <v>#NAME?</v>
      </c>
    </row>
    <row r="18" spans="1:43" ht="12" customHeight="1">
      <c r="A18" s="5"/>
      <c r="B18" s="5" t="str">
        <f>optionchain!$J$2 &amp;" " &amp; I18</f>
        <v>44896 18550</v>
      </c>
      <c r="C18" s="5"/>
      <c r="D18" s="52">
        <f t="shared" si="1"/>
        <v>974000</v>
      </c>
      <c r="E18" s="53">
        <f>VLOOKUP(optionchain!$B18,oiFNO!$H$5:$T$200,6,0)</f>
        <v>1630050</v>
      </c>
      <c r="F18" s="53">
        <f>VLOOKUP(optionchain!$B18,oiFNO!$H$5:$T$200,7,0)</f>
        <v>656050</v>
      </c>
      <c r="G18" s="54" t="e">
        <f t="shared" ca="1" si="2"/>
        <v>#NAME?</v>
      </c>
      <c r="H18" s="53">
        <f>VLOOKUP(optionchain!$B18,oiFNO!$H$5:$T$200,3,0)</f>
        <v>76.150000000000006</v>
      </c>
      <c r="I18" s="52">
        <f t="shared" ref="I18:I27" si="49">(I17+$F$2)</f>
        <v>18550</v>
      </c>
      <c r="J18" s="55">
        <f>VLOOKUP(optionchain!$B18,oiFNO!$H$5:$T$200,9,0)</f>
        <v>93.35</v>
      </c>
      <c r="K18" s="56" t="e">
        <f t="shared" ca="1" si="4"/>
        <v>#NAME?</v>
      </c>
      <c r="L18" s="55">
        <f>VLOOKUP(optionchain!$B18,oiFNO!$H$5:$T$200,13,0)</f>
        <v>121850</v>
      </c>
      <c r="M18" s="55">
        <f>VLOOKUP(optionchain!$B18,oiFNO!$H$5:$T$200,12,0)</f>
        <v>740550</v>
      </c>
      <c r="N18" s="52">
        <f t="shared" si="5"/>
        <v>618700</v>
      </c>
      <c r="O18" s="45">
        <f t="shared" si="46"/>
        <v>37.25</v>
      </c>
      <c r="P18" s="24">
        <f t="shared" si="6"/>
        <v>169.5</v>
      </c>
      <c r="Q18" s="57"/>
      <c r="R18" s="58"/>
      <c r="S18" s="59" t="e">
        <f t="shared" ca="1" si="7"/>
        <v>#NAME?</v>
      </c>
      <c r="T18" s="59" t="e">
        <f t="shared" ca="1" si="8"/>
        <v>#NAME?</v>
      </c>
      <c r="U18" s="60">
        <v>0.5</v>
      </c>
      <c r="V18" s="61" t="e">
        <f t="shared" ca="1" si="9"/>
        <v>#NAME?</v>
      </c>
      <c r="W18" s="61" t="e">
        <f t="shared" ca="1" si="10"/>
        <v>#NAME?</v>
      </c>
      <c r="X18" s="61" t="e">
        <f t="shared" ref="X18:Y18" ca="1" si="50">NORMSDIST(V18)</f>
        <v>#NAME?</v>
      </c>
      <c r="Y18" s="61" t="e">
        <f t="shared" ca="1" si="50"/>
        <v>#NAME?</v>
      </c>
      <c r="Z18" s="61" t="e">
        <f t="shared" ca="1" si="12"/>
        <v>#NAME?</v>
      </c>
      <c r="AA18" s="62" t="e">
        <f t="shared" ca="1" si="13"/>
        <v>#NAME?</v>
      </c>
      <c r="AB18" s="61" t="e">
        <f t="shared" ca="1" si="14"/>
        <v>#NAME?</v>
      </c>
      <c r="AC18" s="61" t="e">
        <f t="shared" ca="1" si="15"/>
        <v>#NAME?</v>
      </c>
      <c r="AD18" s="61" t="e">
        <f t="shared" ca="1" si="16"/>
        <v>#NAME?</v>
      </c>
      <c r="AE18" s="61" t="e">
        <f t="shared" ca="1" si="17"/>
        <v>#NAME?</v>
      </c>
      <c r="AF18" s="63" t="e">
        <f t="shared" ca="1" si="18"/>
        <v>#NAME?</v>
      </c>
      <c r="AG18" s="61">
        <v>0.5</v>
      </c>
      <c r="AH18" s="61" t="e">
        <f t="shared" ca="1" si="19"/>
        <v>#NAME?</v>
      </c>
      <c r="AI18" s="61" t="e">
        <f t="shared" ca="1" si="20"/>
        <v>#NAME?</v>
      </c>
      <c r="AJ18" s="61" t="e">
        <f t="shared" ref="AJ18:AK18" ca="1" si="51">NORMSDIST(AH18)</f>
        <v>#NAME?</v>
      </c>
      <c r="AK18" s="60" t="e">
        <f t="shared" ca="1" si="51"/>
        <v>#NAME?</v>
      </c>
      <c r="AL18" s="34" t="e">
        <f t="shared" ca="1" si="22"/>
        <v>#NAME?</v>
      </c>
      <c r="AM18" s="51" t="e">
        <f t="shared" ca="1" si="23"/>
        <v>#NAME?</v>
      </c>
      <c r="AN18" s="34" t="e">
        <f t="shared" ca="1" si="24"/>
        <v>#NAME?</v>
      </c>
      <c r="AO18" s="61" t="e">
        <f t="shared" ca="1" si="25"/>
        <v>#NAME?</v>
      </c>
      <c r="AP18" s="61" t="e">
        <f t="shared" ca="1" si="26"/>
        <v>#NAME?</v>
      </c>
      <c r="AQ18" s="61" t="e">
        <f t="shared" ca="1" si="27"/>
        <v>#NAME?</v>
      </c>
    </row>
    <row r="19" spans="1:43" ht="12" customHeight="1">
      <c r="A19" s="5"/>
      <c r="B19" s="5" t="str">
        <f>optionchain!$J$2 &amp;" " &amp; I19</f>
        <v>44896 18600</v>
      </c>
      <c r="C19" s="5"/>
      <c r="D19" s="52">
        <f t="shared" si="1"/>
        <v>2645000</v>
      </c>
      <c r="E19" s="53">
        <f>VLOOKUP(optionchain!$B19,oiFNO!$H$5:$T$200,6,0)</f>
        <v>4826400</v>
      </c>
      <c r="F19" s="53">
        <f>VLOOKUP(optionchain!$B19,oiFNO!$H$5:$T$200,7,0)</f>
        <v>2181400</v>
      </c>
      <c r="G19" s="54" t="e">
        <f t="shared" ca="1" si="2"/>
        <v>#NAME?</v>
      </c>
      <c r="H19" s="53">
        <f>VLOOKUP(optionchain!$B19,oiFNO!$H$5:$T$200,3,0)</f>
        <v>53.45</v>
      </c>
      <c r="I19" s="52">
        <f t="shared" si="49"/>
        <v>18600</v>
      </c>
      <c r="J19" s="55">
        <f>VLOOKUP(optionchain!$B19,oiFNO!$H$5:$T$200,9,0)</f>
        <v>121.1</v>
      </c>
      <c r="K19" s="56" t="e">
        <f t="shared" ca="1" si="4"/>
        <v>#NAME?</v>
      </c>
      <c r="L19" s="55">
        <f>VLOOKUP(optionchain!$B19,oiFNO!$H$5:$T$200,13,0)</f>
        <v>839750</v>
      </c>
      <c r="M19" s="55">
        <f>VLOOKUP(optionchain!$B19,oiFNO!$H$5:$T$200,12,0)</f>
        <v>1424250</v>
      </c>
      <c r="N19" s="52">
        <f t="shared" si="5"/>
        <v>584500</v>
      </c>
      <c r="O19" s="45">
        <f t="shared" si="46"/>
        <v>87.25</v>
      </c>
      <c r="P19" s="24">
        <f t="shared" si="6"/>
        <v>174.55</v>
      </c>
      <c r="Q19" s="57"/>
      <c r="R19" s="58"/>
      <c r="S19" s="59" t="e">
        <f t="shared" ca="1" si="7"/>
        <v>#NAME?</v>
      </c>
      <c r="T19" s="59" t="e">
        <f t="shared" ca="1" si="8"/>
        <v>#NAME?</v>
      </c>
      <c r="U19" s="60">
        <v>0.5</v>
      </c>
      <c r="V19" s="61" t="e">
        <f t="shared" ca="1" si="9"/>
        <v>#NAME?</v>
      </c>
      <c r="W19" s="61" t="e">
        <f t="shared" ca="1" si="10"/>
        <v>#NAME?</v>
      </c>
      <c r="X19" s="61" t="e">
        <f t="shared" ref="X19:Y19" ca="1" si="52">NORMSDIST(V19)</f>
        <v>#NAME?</v>
      </c>
      <c r="Y19" s="61" t="e">
        <f t="shared" ca="1" si="52"/>
        <v>#NAME?</v>
      </c>
      <c r="Z19" s="61" t="e">
        <f t="shared" ca="1" si="12"/>
        <v>#NAME?</v>
      </c>
      <c r="AA19" s="62" t="e">
        <f t="shared" ca="1" si="13"/>
        <v>#NAME?</v>
      </c>
      <c r="AB19" s="61" t="e">
        <f t="shared" ca="1" si="14"/>
        <v>#NAME?</v>
      </c>
      <c r="AC19" s="61" t="e">
        <f t="shared" ca="1" si="15"/>
        <v>#NAME?</v>
      </c>
      <c r="AD19" s="61" t="e">
        <f t="shared" ca="1" si="16"/>
        <v>#NAME?</v>
      </c>
      <c r="AE19" s="61" t="e">
        <f t="shared" ca="1" si="17"/>
        <v>#NAME?</v>
      </c>
      <c r="AF19" s="63" t="e">
        <f t="shared" ca="1" si="18"/>
        <v>#NAME?</v>
      </c>
      <c r="AG19" s="61">
        <v>0.5</v>
      </c>
      <c r="AH19" s="61" t="e">
        <f t="shared" ca="1" si="19"/>
        <v>#NAME?</v>
      </c>
      <c r="AI19" s="61" t="e">
        <f t="shared" ca="1" si="20"/>
        <v>#NAME?</v>
      </c>
      <c r="AJ19" s="61" t="e">
        <f t="shared" ref="AJ19:AK19" ca="1" si="53">NORMSDIST(AH19)</f>
        <v>#NAME?</v>
      </c>
      <c r="AK19" s="60" t="e">
        <f t="shared" ca="1" si="53"/>
        <v>#NAME?</v>
      </c>
      <c r="AL19" s="34" t="e">
        <f t="shared" ca="1" si="22"/>
        <v>#NAME?</v>
      </c>
      <c r="AM19" s="51" t="e">
        <f t="shared" ca="1" si="23"/>
        <v>#NAME?</v>
      </c>
      <c r="AN19" s="34" t="e">
        <f t="shared" ca="1" si="24"/>
        <v>#NAME?</v>
      </c>
      <c r="AO19" s="61" t="e">
        <f t="shared" ca="1" si="25"/>
        <v>#NAME?</v>
      </c>
      <c r="AP19" s="61" t="e">
        <f t="shared" ca="1" si="26"/>
        <v>#NAME?</v>
      </c>
      <c r="AQ19" s="61" t="e">
        <f t="shared" ca="1" si="27"/>
        <v>#NAME?</v>
      </c>
    </row>
    <row r="20" spans="1:43" ht="12" customHeight="1">
      <c r="A20" s="5"/>
      <c r="B20" s="5" t="str">
        <f>optionchain!$J$2 &amp;" " &amp; I20</f>
        <v>44896 18650</v>
      </c>
      <c r="C20" s="5"/>
      <c r="D20" s="52">
        <f t="shared" si="1"/>
        <v>945500</v>
      </c>
      <c r="E20" s="53">
        <f>VLOOKUP(optionchain!$B20,oiFNO!$H$5:$T$200,6,0)</f>
        <v>1572500</v>
      </c>
      <c r="F20" s="53">
        <f>VLOOKUP(optionchain!$B20,oiFNO!$H$5:$T$200,7,0)</f>
        <v>627000</v>
      </c>
      <c r="G20" s="54" t="e">
        <f t="shared" ca="1" si="2"/>
        <v>#NAME?</v>
      </c>
      <c r="H20" s="53">
        <f>VLOOKUP(optionchain!$B20,oiFNO!$H$5:$T$200,3,0)</f>
        <v>35.799999999999997</v>
      </c>
      <c r="I20" s="52">
        <f t="shared" si="49"/>
        <v>18650</v>
      </c>
      <c r="J20" s="55">
        <f>VLOOKUP(optionchain!$B20,oiFNO!$H$5:$T$200,9,0)</f>
        <v>156</v>
      </c>
      <c r="K20" s="56" t="e">
        <f t="shared" ca="1" si="4"/>
        <v>#NAME?</v>
      </c>
      <c r="L20" s="55">
        <f>VLOOKUP(optionchain!$B20,oiFNO!$H$5:$T$200,13,0)</f>
        <v>166950</v>
      </c>
      <c r="M20" s="55">
        <f>VLOOKUP(optionchain!$B20,oiFNO!$H$5:$T$200,12,0)</f>
        <v>301600</v>
      </c>
      <c r="N20" s="52">
        <f t="shared" si="5"/>
        <v>134650</v>
      </c>
      <c r="O20" s="45">
        <f t="shared" si="46"/>
        <v>137.25</v>
      </c>
      <c r="P20" s="24">
        <f t="shared" si="6"/>
        <v>191.8</v>
      </c>
      <c r="Q20" s="57"/>
      <c r="R20" s="58"/>
      <c r="S20" s="59" t="e">
        <f t="shared" ca="1" si="7"/>
        <v>#NAME?</v>
      </c>
      <c r="T20" s="59" t="e">
        <f t="shared" ca="1" si="8"/>
        <v>#NAME?</v>
      </c>
      <c r="U20" s="60">
        <v>0.5</v>
      </c>
      <c r="V20" s="61" t="e">
        <f t="shared" ca="1" si="9"/>
        <v>#NAME?</v>
      </c>
      <c r="W20" s="61" t="e">
        <f t="shared" ca="1" si="10"/>
        <v>#NAME?</v>
      </c>
      <c r="X20" s="61" t="e">
        <f t="shared" ref="X20:Y20" ca="1" si="54">NORMSDIST(V20)</f>
        <v>#NAME?</v>
      </c>
      <c r="Y20" s="61" t="e">
        <f t="shared" ca="1" si="54"/>
        <v>#NAME?</v>
      </c>
      <c r="Z20" s="61" t="e">
        <f t="shared" ca="1" si="12"/>
        <v>#NAME?</v>
      </c>
      <c r="AA20" s="62" t="e">
        <f t="shared" ca="1" si="13"/>
        <v>#NAME?</v>
      </c>
      <c r="AB20" s="61" t="e">
        <f t="shared" ca="1" si="14"/>
        <v>#NAME?</v>
      </c>
      <c r="AC20" s="61" t="e">
        <f t="shared" ca="1" si="15"/>
        <v>#NAME?</v>
      </c>
      <c r="AD20" s="61" t="e">
        <f t="shared" ca="1" si="16"/>
        <v>#NAME?</v>
      </c>
      <c r="AE20" s="61" t="e">
        <f t="shared" ca="1" si="17"/>
        <v>#NAME?</v>
      </c>
      <c r="AF20" s="63" t="e">
        <f t="shared" ca="1" si="18"/>
        <v>#NAME?</v>
      </c>
      <c r="AG20" s="61">
        <v>0.5</v>
      </c>
      <c r="AH20" s="61" t="e">
        <f t="shared" ca="1" si="19"/>
        <v>#NAME?</v>
      </c>
      <c r="AI20" s="61" t="e">
        <f t="shared" ca="1" si="20"/>
        <v>#NAME?</v>
      </c>
      <c r="AJ20" s="61" t="e">
        <f t="shared" ref="AJ20:AK20" ca="1" si="55">NORMSDIST(AH20)</f>
        <v>#NAME?</v>
      </c>
      <c r="AK20" s="60" t="e">
        <f t="shared" ca="1" si="55"/>
        <v>#NAME?</v>
      </c>
      <c r="AL20" s="34" t="e">
        <f t="shared" ca="1" si="22"/>
        <v>#NAME?</v>
      </c>
      <c r="AM20" s="51" t="e">
        <f t="shared" ca="1" si="23"/>
        <v>#NAME?</v>
      </c>
      <c r="AN20" s="34" t="e">
        <f t="shared" ca="1" si="24"/>
        <v>#NAME?</v>
      </c>
      <c r="AO20" s="61" t="e">
        <f t="shared" ca="1" si="25"/>
        <v>#NAME?</v>
      </c>
      <c r="AP20" s="61" t="e">
        <f t="shared" ca="1" si="26"/>
        <v>#NAME?</v>
      </c>
      <c r="AQ20" s="61" t="e">
        <f t="shared" ca="1" si="27"/>
        <v>#NAME?</v>
      </c>
    </row>
    <row r="21" spans="1:43" ht="12" customHeight="1">
      <c r="A21" s="5"/>
      <c r="B21" s="5" t="str">
        <f>optionchain!$J$2 &amp;" " &amp; I21</f>
        <v>44896 18700</v>
      </c>
      <c r="C21" s="5"/>
      <c r="D21" s="52">
        <f t="shared" si="1"/>
        <v>2109050</v>
      </c>
      <c r="E21" s="53">
        <f>VLOOKUP(optionchain!$B21,oiFNO!$H$5:$T$200,6,0)</f>
        <v>3528300</v>
      </c>
      <c r="F21" s="53">
        <f>VLOOKUP(optionchain!$B21,oiFNO!$H$5:$T$200,7,0)</f>
        <v>1419250</v>
      </c>
      <c r="G21" s="54" t="e">
        <f t="shared" ca="1" si="2"/>
        <v>#NAME?</v>
      </c>
      <c r="H21" s="53">
        <f>VLOOKUP(optionchain!$B21,oiFNO!$H$5:$T$200,3,0)</f>
        <v>24</v>
      </c>
      <c r="I21" s="52">
        <f t="shared" si="49"/>
        <v>18700</v>
      </c>
      <c r="J21" s="55">
        <f>VLOOKUP(optionchain!$B21,oiFNO!$H$5:$T$200,9,0)</f>
        <v>190</v>
      </c>
      <c r="K21" s="56" t="e">
        <f t="shared" ca="1" si="4"/>
        <v>#NAME?</v>
      </c>
      <c r="L21" s="55">
        <f>VLOOKUP(optionchain!$B21,oiFNO!$H$5:$T$200,13,0)</f>
        <v>242550</v>
      </c>
      <c r="M21" s="55">
        <f>VLOOKUP(optionchain!$B21,oiFNO!$H$5:$T$200,12,0)</f>
        <v>438800</v>
      </c>
      <c r="N21" s="52">
        <f t="shared" si="5"/>
        <v>196250</v>
      </c>
      <c r="O21" s="45">
        <f t="shared" si="46"/>
        <v>187.25</v>
      </c>
      <c r="P21" s="24">
        <f t="shared" si="6"/>
        <v>214</v>
      </c>
      <c r="Q21" s="57"/>
      <c r="R21" s="58"/>
      <c r="S21" s="59" t="e">
        <f t="shared" ca="1" si="7"/>
        <v>#NAME?</v>
      </c>
      <c r="T21" s="59" t="e">
        <f t="shared" ca="1" si="8"/>
        <v>#NAME?</v>
      </c>
      <c r="U21" s="60">
        <v>0.5</v>
      </c>
      <c r="V21" s="61" t="e">
        <f t="shared" ca="1" si="9"/>
        <v>#NAME?</v>
      </c>
      <c r="W21" s="61" t="e">
        <f t="shared" ca="1" si="10"/>
        <v>#NAME?</v>
      </c>
      <c r="X21" s="61" t="e">
        <f t="shared" ref="X21:Y21" ca="1" si="56">NORMSDIST(V21)</f>
        <v>#NAME?</v>
      </c>
      <c r="Y21" s="61" t="e">
        <f t="shared" ca="1" si="56"/>
        <v>#NAME?</v>
      </c>
      <c r="Z21" s="61" t="e">
        <f t="shared" ca="1" si="12"/>
        <v>#NAME?</v>
      </c>
      <c r="AA21" s="62" t="e">
        <f t="shared" ca="1" si="13"/>
        <v>#NAME?</v>
      </c>
      <c r="AB21" s="61" t="e">
        <f t="shared" ca="1" si="14"/>
        <v>#NAME?</v>
      </c>
      <c r="AC21" s="61" t="e">
        <f t="shared" ca="1" si="15"/>
        <v>#NAME?</v>
      </c>
      <c r="AD21" s="61" t="e">
        <f t="shared" ca="1" si="16"/>
        <v>#NAME?</v>
      </c>
      <c r="AE21" s="61" t="e">
        <f t="shared" ca="1" si="17"/>
        <v>#NAME?</v>
      </c>
      <c r="AF21" s="63" t="e">
        <f t="shared" ca="1" si="18"/>
        <v>#NAME?</v>
      </c>
      <c r="AG21" s="61">
        <v>0.5</v>
      </c>
      <c r="AH21" s="61" t="e">
        <f t="shared" ca="1" si="19"/>
        <v>#NAME?</v>
      </c>
      <c r="AI21" s="61" t="e">
        <f t="shared" ca="1" si="20"/>
        <v>#NAME?</v>
      </c>
      <c r="AJ21" s="61" t="e">
        <f t="shared" ref="AJ21:AK21" ca="1" si="57">NORMSDIST(AH21)</f>
        <v>#NAME?</v>
      </c>
      <c r="AK21" s="60" t="e">
        <f t="shared" ca="1" si="57"/>
        <v>#NAME?</v>
      </c>
      <c r="AL21" s="34" t="e">
        <f t="shared" ca="1" si="22"/>
        <v>#NAME?</v>
      </c>
      <c r="AM21" s="51" t="e">
        <f t="shared" ca="1" si="23"/>
        <v>#NAME?</v>
      </c>
      <c r="AN21" s="34" t="e">
        <f t="shared" ca="1" si="24"/>
        <v>#NAME?</v>
      </c>
      <c r="AO21" s="61" t="e">
        <f t="shared" ca="1" si="25"/>
        <v>#NAME?</v>
      </c>
      <c r="AP21" s="61" t="e">
        <f t="shared" ca="1" si="26"/>
        <v>#NAME?</v>
      </c>
      <c r="AQ21" s="61" t="e">
        <f t="shared" ca="1" si="27"/>
        <v>#NAME?</v>
      </c>
    </row>
    <row r="22" spans="1:43" ht="12" customHeight="1">
      <c r="A22" s="5"/>
      <c r="B22" s="5" t="str">
        <f>optionchain!$J$2 &amp;" " &amp; I22</f>
        <v>44896 18750</v>
      </c>
      <c r="C22" s="5"/>
      <c r="D22" s="52">
        <f t="shared" si="1"/>
        <v>1161350</v>
      </c>
      <c r="E22" s="53">
        <f>VLOOKUP(optionchain!$B22,oiFNO!$H$5:$T$200,6,0)</f>
        <v>2052700</v>
      </c>
      <c r="F22" s="53">
        <f>VLOOKUP(optionchain!$B22,oiFNO!$H$5:$T$200,7,0)</f>
        <v>891350</v>
      </c>
      <c r="G22" s="54" t="e">
        <f t="shared" ca="1" si="2"/>
        <v>#NAME?</v>
      </c>
      <c r="H22" s="53">
        <f>VLOOKUP(optionchain!$B22,oiFNO!$H$5:$T$200,3,0)</f>
        <v>15</v>
      </c>
      <c r="I22" s="52">
        <f t="shared" si="49"/>
        <v>18750</v>
      </c>
      <c r="J22" s="55">
        <f>VLOOKUP(optionchain!$B22,oiFNO!$H$5:$T$200,9,0)</f>
        <v>234.2</v>
      </c>
      <c r="K22" s="56" t="e">
        <f t="shared" ca="1" si="4"/>
        <v>#NAME?</v>
      </c>
      <c r="L22" s="55">
        <f>VLOOKUP(optionchain!$B22,oiFNO!$H$5:$T$200,13,0)</f>
        <v>-10850</v>
      </c>
      <c r="M22" s="55">
        <f>VLOOKUP(optionchain!$B22,oiFNO!$H$5:$T$200,12,0)</f>
        <v>49900</v>
      </c>
      <c r="N22" s="52">
        <f t="shared" si="5"/>
        <v>60750</v>
      </c>
      <c r="O22" s="45">
        <f t="shared" si="46"/>
        <v>237.25</v>
      </c>
      <c r="P22" s="24">
        <f t="shared" si="6"/>
        <v>249.2</v>
      </c>
      <c r="Q22" s="57"/>
      <c r="R22" s="58"/>
      <c r="S22" s="59" t="e">
        <f t="shared" ca="1" si="7"/>
        <v>#NAME?</v>
      </c>
      <c r="T22" s="59" t="e">
        <f t="shared" ca="1" si="8"/>
        <v>#NAME?</v>
      </c>
      <c r="U22" s="60">
        <v>0.5</v>
      </c>
      <c r="V22" s="61" t="e">
        <f t="shared" ca="1" si="9"/>
        <v>#NAME?</v>
      </c>
      <c r="W22" s="61" t="e">
        <f t="shared" ca="1" si="10"/>
        <v>#NAME?</v>
      </c>
      <c r="X22" s="61" t="e">
        <f t="shared" ref="X22:Y22" ca="1" si="58">NORMSDIST(V22)</f>
        <v>#NAME?</v>
      </c>
      <c r="Y22" s="61" t="e">
        <f t="shared" ca="1" si="58"/>
        <v>#NAME?</v>
      </c>
      <c r="Z22" s="61" t="e">
        <f t="shared" ca="1" si="12"/>
        <v>#NAME?</v>
      </c>
      <c r="AA22" s="62" t="e">
        <f t="shared" ca="1" si="13"/>
        <v>#NAME?</v>
      </c>
      <c r="AB22" s="61" t="e">
        <f t="shared" ca="1" si="14"/>
        <v>#NAME?</v>
      </c>
      <c r="AC22" s="61" t="e">
        <f t="shared" ca="1" si="15"/>
        <v>#NAME?</v>
      </c>
      <c r="AD22" s="61" t="e">
        <f t="shared" ca="1" si="16"/>
        <v>#NAME?</v>
      </c>
      <c r="AE22" s="61" t="e">
        <f t="shared" ca="1" si="17"/>
        <v>#NAME?</v>
      </c>
      <c r="AF22" s="63" t="e">
        <f t="shared" ca="1" si="18"/>
        <v>#NAME?</v>
      </c>
      <c r="AG22" s="61">
        <v>0.5</v>
      </c>
      <c r="AH22" s="61" t="e">
        <f t="shared" ca="1" si="19"/>
        <v>#NAME?</v>
      </c>
      <c r="AI22" s="61" t="e">
        <f t="shared" ca="1" si="20"/>
        <v>#NAME?</v>
      </c>
      <c r="AJ22" s="61" t="e">
        <f t="shared" ref="AJ22:AK22" ca="1" si="59">NORMSDIST(AH22)</f>
        <v>#NAME?</v>
      </c>
      <c r="AK22" s="60" t="e">
        <f t="shared" ca="1" si="59"/>
        <v>#NAME?</v>
      </c>
      <c r="AL22" s="34" t="e">
        <f t="shared" ca="1" si="22"/>
        <v>#NAME?</v>
      </c>
      <c r="AM22" s="51" t="e">
        <f t="shared" ca="1" si="23"/>
        <v>#NAME?</v>
      </c>
      <c r="AN22" s="34" t="e">
        <f t="shared" ca="1" si="24"/>
        <v>#NAME?</v>
      </c>
      <c r="AO22" s="61" t="e">
        <f t="shared" ca="1" si="25"/>
        <v>#NAME?</v>
      </c>
      <c r="AP22" s="61" t="e">
        <f t="shared" ca="1" si="26"/>
        <v>#NAME?</v>
      </c>
      <c r="AQ22" s="61" t="e">
        <f t="shared" ca="1" si="27"/>
        <v>#NAME?</v>
      </c>
    </row>
    <row r="23" spans="1:43" ht="12" customHeight="1">
      <c r="A23" s="5"/>
      <c r="B23" s="5" t="str">
        <f>optionchain!$J$2 &amp;" " &amp; I23</f>
        <v>44896 18800</v>
      </c>
      <c r="C23" s="5"/>
      <c r="D23" s="52">
        <f t="shared" si="1"/>
        <v>2012850</v>
      </c>
      <c r="E23" s="53">
        <f>VLOOKUP(optionchain!$B23,oiFNO!$H$5:$T$200,6,0)</f>
        <v>4191650</v>
      </c>
      <c r="F23" s="53">
        <f>VLOOKUP(optionchain!$B23,oiFNO!$H$5:$T$200,7,0)</f>
        <v>2178800</v>
      </c>
      <c r="G23" s="54" t="e">
        <f t="shared" ca="1" si="2"/>
        <v>#NAME?</v>
      </c>
      <c r="H23" s="53">
        <f>VLOOKUP(optionchain!$B23,oiFNO!$H$5:$T$200,3,0)</f>
        <v>9.1999999999999993</v>
      </c>
      <c r="I23" s="52">
        <f t="shared" si="49"/>
        <v>18800</v>
      </c>
      <c r="J23" s="55">
        <f>VLOOKUP(optionchain!$B23,oiFNO!$H$5:$T$200,9,0)</f>
        <v>275.35000000000002</v>
      </c>
      <c r="K23" s="56" t="e">
        <f t="shared" ca="1" si="4"/>
        <v>#NAME?</v>
      </c>
      <c r="L23" s="55">
        <f>VLOOKUP(optionchain!$B23,oiFNO!$H$5:$T$200,13,0)</f>
        <v>39550</v>
      </c>
      <c r="M23" s="55">
        <f>VLOOKUP(optionchain!$B23,oiFNO!$H$5:$T$200,12,0)</f>
        <v>85800</v>
      </c>
      <c r="N23" s="52">
        <f t="shared" si="5"/>
        <v>46250</v>
      </c>
      <c r="O23" s="45">
        <f t="shared" si="46"/>
        <v>287.25</v>
      </c>
      <c r="P23" s="24">
        <f t="shared" si="6"/>
        <v>284.55</v>
      </c>
      <c r="Q23" s="57"/>
      <c r="R23" s="58"/>
      <c r="S23" s="59" t="e">
        <f t="shared" ca="1" si="7"/>
        <v>#NAME?</v>
      </c>
      <c r="T23" s="59" t="e">
        <f t="shared" ca="1" si="8"/>
        <v>#NAME?</v>
      </c>
      <c r="U23" s="60">
        <v>0.5</v>
      </c>
      <c r="V23" s="61" t="e">
        <f t="shared" ca="1" si="9"/>
        <v>#NAME?</v>
      </c>
      <c r="W23" s="61" t="e">
        <f t="shared" ca="1" si="10"/>
        <v>#NAME?</v>
      </c>
      <c r="X23" s="61" t="e">
        <f t="shared" ref="X23:Y23" ca="1" si="60">NORMSDIST(V23)</f>
        <v>#NAME?</v>
      </c>
      <c r="Y23" s="61" t="e">
        <f t="shared" ca="1" si="60"/>
        <v>#NAME?</v>
      </c>
      <c r="Z23" s="61" t="e">
        <f t="shared" ca="1" si="12"/>
        <v>#NAME?</v>
      </c>
      <c r="AA23" s="62" t="e">
        <f t="shared" ca="1" si="13"/>
        <v>#NAME?</v>
      </c>
      <c r="AB23" s="61" t="e">
        <f t="shared" ca="1" si="14"/>
        <v>#NAME?</v>
      </c>
      <c r="AC23" s="61" t="e">
        <f t="shared" ca="1" si="15"/>
        <v>#NAME?</v>
      </c>
      <c r="AD23" s="61" t="e">
        <f t="shared" ca="1" si="16"/>
        <v>#NAME?</v>
      </c>
      <c r="AE23" s="61" t="e">
        <f t="shared" ca="1" si="17"/>
        <v>#NAME?</v>
      </c>
      <c r="AF23" s="63" t="e">
        <f t="shared" ca="1" si="18"/>
        <v>#NAME?</v>
      </c>
      <c r="AG23" s="61">
        <v>0.5</v>
      </c>
      <c r="AH23" s="61" t="e">
        <f t="shared" ca="1" si="19"/>
        <v>#NAME?</v>
      </c>
      <c r="AI23" s="61" t="e">
        <f t="shared" ca="1" si="20"/>
        <v>#NAME?</v>
      </c>
      <c r="AJ23" s="61" t="e">
        <f t="shared" ref="AJ23:AK23" ca="1" si="61">NORMSDIST(AH23)</f>
        <v>#NAME?</v>
      </c>
      <c r="AK23" s="60" t="e">
        <f t="shared" ca="1" si="61"/>
        <v>#NAME?</v>
      </c>
      <c r="AL23" s="34" t="e">
        <f t="shared" ca="1" si="22"/>
        <v>#NAME?</v>
      </c>
      <c r="AM23" s="51" t="e">
        <f t="shared" ca="1" si="23"/>
        <v>#NAME?</v>
      </c>
      <c r="AN23" s="34" t="e">
        <f t="shared" ca="1" si="24"/>
        <v>#NAME?</v>
      </c>
      <c r="AO23" s="61" t="e">
        <f t="shared" ca="1" si="25"/>
        <v>#NAME?</v>
      </c>
      <c r="AP23" s="61" t="e">
        <f t="shared" ca="1" si="26"/>
        <v>#NAME?</v>
      </c>
      <c r="AQ23" s="61" t="e">
        <f t="shared" ca="1" si="27"/>
        <v>#NAME?</v>
      </c>
    </row>
    <row r="24" spans="1:43" ht="12" customHeight="1">
      <c r="A24" s="5"/>
      <c r="B24" s="5" t="str">
        <f>optionchain!$J$2 &amp;" " &amp; I24</f>
        <v>44896 18850</v>
      </c>
      <c r="C24" s="5"/>
      <c r="D24" s="52">
        <f t="shared" si="1"/>
        <v>1148150</v>
      </c>
      <c r="E24" s="53">
        <f>VLOOKUP(optionchain!$B24,oiFNO!$H$5:$T$200,6,0)</f>
        <v>2201950</v>
      </c>
      <c r="F24" s="53">
        <f>VLOOKUP(optionchain!$B24,oiFNO!$H$5:$T$200,7,0)</f>
        <v>1053800</v>
      </c>
      <c r="G24" s="54" t="e">
        <f t="shared" ca="1" si="2"/>
        <v>#NAME?</v>
      </c>
      <c r="H24" s="53">
        <f>VLOOKUP(optionchain!$B24,oiFNO!$H$5:$T$200,3,0)</f>
        <v>5.7</v>
      </c>
      <c r="I24" s="52">
        <f t="shared" si="49"/>
        <v>18850</v>
      </c>
      <c r="J24" s="55">
        <f>VLOOKUP(optionchain!$B24,oiFNO!$H$5:$T$200,9,0)</f>
        <v>325.35000000000002</v>
      </c>
      <c r="K24" s="56" t="e">
        <f t="shared" ca="1" si="4"/>
        <v>#NAME?</v>
      </c>
      <c r="L24" s="55">
        <f>VLOOKUP(optionchain!$B24,oiFNO!$H$5:$T$200,13,0)</f>
        <v>12050</v>
      </c>
      <c r="M24" s="55">
        <f>VLOOKUP(optionchain!$B24,oiFNO!$H$5:$T$200,12,0)</f>
        <v>15600</v>
      </c>
      <c r="N24" s="52">
        <f t="shared" si="5"/>
        <v>3550</v>
      </c>
      <c r="O24" s="45">
        <f t="shared" si="46"/>
        <v>337.25</v>
      </c>
      <c r="P24" s="24">
        <f t="shared" si="6"/>
        <v>331.05</v>
      </c>
      <c r="Q24" s="57"/>
      <c r="R24" s="58"/>
      <c r="S24" s="59" t="e">
        <f t="shared" ca="1" si="7"/>
        <v>#NAME?</v>
      </c>
      <c r="T24" s="59" t="e">
        <f t="shared" ca="1" si="8"/>
        <v>#NAME?</v>
      </c>
      <c r="U24" s="60">
        <v>0.5</v>
      </c>
      <c r="V24" s="61" t="e">
        <f t="shared" ca="1" si="9"/>
        <v>#NAME?</v>
      </c>
      <c r="W24" s="61" t="e">
        <f t="shared" ca="1" si="10"/>
        <v>#NAME?</v>
      </c>
      <c r="X24" s="61" t="e">
        <f t="shared" ref="X24:Y24" ca="1" si="62">NORMSDIST(V24)</f>
        <v>#NAME?</v>
      </c>
      <c r="Y24" s="61" t="e">
        <f t="shared" ca="1" si="62"/>
        <v>#NAME?</v>
      </c>
      <c r="Z24" s="61" t="e">
        <f t="shared" ca="1" si="12"/>
        <v>#NAME?</v>
      </c>
      <c r="AA24" s="62" t="e">
        <f t="shared" ca="1" si="13"/>
        <v>#NAME?</v>
      </c>
      <c r="AB24" s="61" t="e">
        <f t="shared" ca="1" si="14"/>
        <v>#NAME?</v>
      </c>
      <c r="AC24" s="61" t="e">
        <f t="shared" ca="1" si="15"/>
        <v>#NAME?</v>
      </c>
      <c r="AD24" s="61" t="e">
        <f t="shared" ca="1" si="16"/>
        <v>#NAME?</v>
      </c>
      <c r="AE24" s="61" t="e">
        <f t="shared" ca="1" si="17"/>
        <v>#NAME?</v>
      </c>
      <c r="AF24" s="63" t="e">
        <f t="shared" ca="1" si="18"/>
        <v>#NAME?</v>
      </c>
      <c r="AG24" s="61">
        <v>0.5</v>
      </c>
      <c r="AH24" s="61" t="e">
        <f t="shared" ca="1" si="19"/>
        <v>#NAME?</v>
      </c>
      <c r="AI24" s="61" t="e">
        <f t="shared" ca="1" si="20"/>
        <v>#NAME?</v>
      </c>
      <c r="AJ24" s="61" t="e">
        <f t="shared" ref="AJ24:AK24" ca="1" si="63">NORMSDIST(AH24)</f>
        <v>#NAME?</v>
      </c>
      <c r="AK24" s="60" t="e">
        <f t="shared" ca="1" si="63"/>
        <v>#NAME?</v>
      </c>
      <c r="AL24" s="34" t="e">
        <f t="shared" ca="1" si="22"/>
        <v>#NAME?</v>
      </c>
      <c r="AM24" s="51" t="e">
        <f t="shared" ca="1" si="23"/>
        <v>#NAME?</v>
      </c>
      <c r="AN24" s="34" t="e">
        <f t="shared" ca="1" si="24"/>
        <v>#NAME?</v>
      </c>
      <c r="AO24" s="61" t="e">
        <f t="shared" ca="1" si="25"/>
        <v>#NAME?</v>
      </c>
      <c r="AP24" s="61" t="e">
        <f t="shared" ca="1" si="26"/>
        <v>#NAME?</v>
      </c>
      <c r="AQ24" s="61" t="e">
        <f t="shared" ca="1" si="27"/>
        <v>#NAME?</v>
      </c>
    </row>
    <row r="25" spans="1:43" ht="12" customHeight="1">
      <c r="A25" s="5"/>
      <c r="B25" s="5" t="str">
        <f>optionchain!$J$2 &amp;" " &amp; I25</f>
        <v>44896 18900</v>
      </c>
      <c r="C25" s="5"/>
      <c r="D25" s="52">
        <f t="shared" si="1"/>
        <v>1667100</v>
      </c>
      <c r="E25" s="53">
        <f>VLOOKUP(optionchain!$B25,oiFNO!$H$5:$T$200,6,0)</f>
        <v>3735250</v>
      </c>
      <c r="F25" s="53">
        <f>VLOOKUP(optionchain!$B25,oiFNO!$H$5:$T$200,7,0)</f>
        <v>2068150</v>
      </c>
      <c r="G25" s="54" t="e">
        <f t="shared" ca="1" si="2"/>
        <v>#NAME?</v>
      </c>
      <c r="H25" s="53">
        <f>VLOOKUP(optionchain!$B25,oiFNO!$H$5:$T$200,3,0)</f>
        <v>4.05</v>
      </c>
      <c r="I25" s="52">
        <f t="shared" si="49"/>
        <v>18900</v>
      </c>
      <c r="J25" s="55">
        <f>VLOOKUP(optionchain!$B25,oiFNO!$H$5:$T$200,9,0)</f>
        <v>369.85</v>
      </c>
      <c r="K25" s="56" t="e">
        <f t="shared" ca="1" si="4"/>
        <v>#NAME?</v>
      </c>
      <c r="L25" s="55">
        <f>VLOOKUP(optionchain!$B25,oiFNO!$H$5:$T$200,13,0)</f>
        <v>10050</v>
      </c>
      <c r="M25" s="55">
        <f>VLOOKUP(optionchain!$B25,oiFNO!$H$5:$T$200,12,0)</f>
        <v>26450</v>
      </c>
      <c r="N25" s="52">
        <f t="shared" si="5"/>
        <v>16400</v>
      </c>
      <c r="O25" s="45">
        <f t="shared" si="46"/>
        <v>387.25</v>
      </c>
      <c r="P25" s="24">
        <f t="shared" si="6"/>
        <v>373.90000000000003</v>
      </c>
      <c r="Q25" s="57"/>
      <c r="R25" s="58"/>
      <c r="S25" s="59" t="e">
        <f t="shared" ca="1" si="7"/>
        <v>#NAME?</v>
      </c>
      <c r="T25" s="59" t="e">
        <f t="shared" ca="1" si="8"/>
        <v>#NAME?</v>
      </c>
      <c r="U25" s="60">
        <v>0.5</v>
      </c>
      <c r="V25" s="61" t="e">
        <f t="shared" ca="1" si="9"/>
        <v>#NAME?</v>
      </c>
      <c r="W25" s="61" t="e">
        <f t="shared" ca="1" si="10"/>
        <v>#NAME?</v>
      </c>
      <c r="X25" s="61" t="e">
        <f t="shared" ref="X25:Y25" ca="1" si="64">NORMSDIST(V25)</f>
        <v>#NAME?</v>
      </c>
      <c r="Y25" s="61" t="e">
        <f t="shared" ca="1" si="64"/>
        <v>#NAME?</v>
      </c>
      <c r="Z25" s="61" t="e">
        <f t="shared" ca="1" si="12"/>
        <v>#NAME?</v>
      </c>
      <c r="AA25" s="62" t="e">
        <f t="shared" ca="1" si="13"/>
        <v>#NAME?</v>
      </c>
      <c r="AB25" s="61" t="e">
        <f t="shared" ca="1" si="14"/>
        <v>#NAME?</v>
      </c>
      <c r="AC25" s="61" t="e">
        <f t="shared" ca="1" si="15"/>
        <v>#NAME?</v>
      </c>
      <c r="AD25" s="61" t="e">
        <f t="shared" ca="1" si="16"/>
        <v>#NAME?</v>
      </c>
      <c r="AE25" s="61" t="e">
        <f t="shared" ca="1" si="17"/>
        <v>#NAME?</v>
      </c>
      <c r="AF25" s="63" t="e">
        <f t="shared" ca="1" si="18"/>
        <v>#NAME?</v>
      </c>
      <c r="AG25" s="61">
        <v>0.5</v>
      </c>
      <c r="AH25" s="61" t="e">
        <f t="shared" ca="1" si="19"/>
        <v>#NAME?</v>
      </c>
      <c r="AI25" s="61" t="e">
        <f t="shared" ca="1" si="20"/>
        <v>#NAME?</v>
      </c>
      <c r="AJ25" s="61" t="e">
        <f t="shared" ref="AJ25:AK25" ca="1" si="65">NORMSDIST(AH25)</f>
        <v>#NAME?</v>
      </c>
      <c r="AK25" s="60" t="e">
        <f t="shared" ca="1" si="65"/>
        <v>#NAME?</v>
      </c>
      <c r="AL25" s="34" t="e">
        <f t="shared" ca="1" si="22"/>
        <v>#NAME?</v>
      </c>
      <c r="AM25" s="51" t="e">
        <f t="shared" ca="1" si="23"/>
        <v>#NAME?</v>
      </c>
      <c r="AN25" s="34" t="e">
        <f t="shared" ca="1" si="24"/>
        <v>#NAME?</v>
      </c>
      <c r="AO25" s="61" t="e">
        <f t="shared" ca="1" si="25"/>
        <v>#NAME?</v>
      </c>
      <c r="AP25" s="61" t="e">
        <f t="shared" ca="1" si="26"/>
        <v>#NAME?</v>
      </c>
      <c r="AQ25" s="61" t="e">
        <f t="shared" ca="1" si="27"/>
        <v>#NAME?</v>
      </c>
    </row>
    <row r="26" spans="1:43" ht="12" customHeight="1">
      <c r="A26" s="5"/>
      <c r="B26" s="5" t="str">
        <f>optionchain!$J$2 &amp;" " &amp; I26</f>
        <v>44896 18950</v>
      </c>
      <c r="C26" s="5"/>
      <c r="D26" s="52">
        <f t="shared" si="1"/>
        <v>331700</v>
      </c>
      <c r="E26" s="53">
        <f>VLOOKUP(optionchain!$B26,oiFNO!$H$5:$T$200,6,0)</f>
        <v>934500</v>
      </c>
      <c r="F26" s="53">
        <f>VLOOKUP(optionchain!$B26,oiFNO!$H$5:$T$200,7,0)</f>
        <v>602800</v>
      </c>
      <c r="G26" s="54" t="e">
        <f t="shared" ca="1" si="2"/>
        <v>#NAME?</v>
      </c>
      <c r="H26" s="53">
        <f>VLOOKUP(optionchain!$B26,oiFNO!$H$5:$T$200,3,0)</f>
        <v>3</v>
      </c>
      <c r="I26" s="52">
        <f t="shared" si="49"/>
        <v>18950</v>
      </c>
      <c r="J26" s="55">
        <f>VLOOKUP(optionchain!$B26,oiFNO!$H$5:$T$200,9,0)</f>
        <v>423.8</v>
      </c>
      <c r="K26" s="56" t="e">
        <f t="shared" ca="1" si="4"/>
        <v>#NAME?</v>
      </c>
      <c r="L26" s="55">
        <f>VLOOKUP(optionchain!$B26,oiFNO!$H$5:$T$200,13,0)</f>
        <v>5000</v>
      </c>
      <c r="M26" s="55">
        <f>VLOOKUP(optionchain!$B26,oiFNO!$H$5:$T$200,12,0)</f>
        <v>5150</v>
      </c>
      <c r="N26" s="52">
        <f t="shared" si="5"/>
        <v>150</v>
      </c>
      <c r="O26" s="45">
        <f t="shared" si="46"/>
        <v>437.25</v>
      </c>
      <c r="P26" s="24">
        <f t="shared" si="6"/>
        <v>426.8</v>
      </c>
      <c r="Q26" s="57"/>
      <c r="R26" s="58"/>
      <c r="S26" s="59" t="e">
        <f t="shared" ca="1" si="7"/>
        <v>#NAME?</v>
      </c>
      <c r="T26" s="59" t="e">
        <f t="shared" ca="1" si="8"/>
        <v>#NAME?</v>
      </c>
      <c r="U26" s="60">
        <v>0.5</v>
      </c>
      <c r="V26" s="61" t="e">
        <f t="shared" ca="1" si="9"/>
        <v>#NAME?</v>
      </c>
      <c r="W26" s="61" t="e">
        <f t="shared" ca="1" si="10"/>
        <v>#NAME?</v>
      </c>
      <c r="X26" s="61" t="e">
        <f t="shared" ref="X26:Y26" ca="1" si="66">NORMSDIST(V26)</f>
        <v>#NAME?</v>
      </c>
      <c r="Y26" s="61" t="e">
        <f t="shared" ca="1" si="66"/>
        <v>#NAME?</v>
      </c>
      <c r="Z26" s="61" t="e">
        <f t="shared" ca="1" si="12"/>
        <v>#NAME?</v>
      </c>
      <c r="AA26" s="62" t="e">
        <f t="shared" ca="1" si="13"/>
        <v>#NAME?</v>
      </c>
      <c r="AB26" s="61" t="e">
        <f t="shared" ca="1" si="14"/>
        <v>#NAME?</v>
      </c>
      <c r="AC26" s="61" t="e">
        <f t="shared" ca="1" si="15"/>
        <v>#NAME?</v>
      </c>
      <c r="AD26" s="61" t="e">
        <f t="shared" ca="1" si="16"/>
        <v>#NAME?</v>
      </c>
      <c r="AE26" s="61" t="e">
        <f t="shared" ca="1" si="17"/>
        <v>#NAME?</v>
      </c>
      <c r="AF26" s="63" t="e">
        <f t="shared" ca="1" si="18"/>
        <v>#NAME?</v>
      </c>
      <c r="AG26" s="61">
        <v>0.5</v>
      </c>
      <c r="AH26" s="61" t="e">
        <f t="shared" ca="1" si="19"/>
        <v>#NAME?</v>
      </c>
      <c r="AI26" s="61" t="e">
        <f t="shared" ca="1" si="20"/>
        <v>#NAME?</v>
      </c>
      <c r="AJ26" s="61" t="e">
        <f t="shared" ref="AJ26:AK26" ca="1" si="67">NORMSDIST(AH26)</f>
        <v>#NAME?</v>
      </c>
      <c r="AK26" s="60" t="e">
        <f t="shared" ca="1" si="67"/>
        <v>#NAME?</v>
      </c>
      <c r="AL26" s="34" t="e">
        <f t="shared" ca="1" si="22"/>
        <v>#NAME?</v>
      </c>
      <c r="AM26" s="51" t="e">
        <f t="shared" ca="1" si="23"/>
        <v>#NAME?</v>
      </c>
      <c r="AN26" s="34" t="e">
        <f t="shared" ca="1" si="24"/>
        <v>#NAME?</v>
      </c>
      <c r="AO26" s="61" t="e">
        <f t="shared" ca="1" si="25"/>
        <v>#NAME?</v>
      </c>
      <c r="AP26" s="61" t="e">
        <f t="shared" ca="1" si="26"/>
        <v>#NAME?</v>
      </c>
      <c r="AQ26" s="61" t="e">
        <f t="shared" ca="1" si="27"/>
        <v>#NAME?</v>
      </c>
    </row>
    <row r="27" spans="1:43" ht="12" customHeight="1">
      <c r="A27" s="5"/>
      <c r="B27" s="5" t="str">
        <f>optionchain!$J$2 &amp;" " &amp; I27</f>
        <v>44896 19000</v>
      </c>
      <c r="C27" s="5"/>
      <c r="D27" s="52">
        <f t="shared" si="1"/>
        <v>3601850</v>
      </c>
      <c r="E27" s="53">
        <f>VLOOKUP(optionchain!$B27,oiFNO!$H$5:$T$200,6,0)</f>
        <v>7804750</v>
      </c>
      <c r="F27" s="53">
        <f>VLOOKUP(optionchain!$B27,oiFNO!$H$5:$T$200,7,0)</f>
        <v>4202900</v>
      </c>
      <c r="G27" s="54" t="e">
        <f t="shared" ca="1" si="2"/>
        <v>#NAME?</v>
      </c>
      <c r="H27" s="53">
        <f>VLOOKUP(optionchain!$B27,oiFNO!$H$5:$T$200,3,0)</f>
        <v>2.7</v>
      </c>
      <c r="I27" s="52">
        <f t="shared" si="49"/>
        <v>19000</v>
      </c>
      <c r="J27" s="55">
        <f>VLOOKUP(optionchain!$B27,oiFNO!$H$5:$T$200,9,0)</f>
        <v>472</v>
      </c>
      <c r="K27" s="56" t="e">
        <f t="shared" ca="1" si="4"/>
        <v>#NAME?</v>
      </c>
      <c r="L27" s="55">
        <f>VLOOKUP(optionchain!$B27,oiFNO!$H$5:$T$200,13,0)</f>
        <v>133300</v>
      </c>
      <c r="M27" s="55">
        <f>VLOOKUP(optionchain!$B27,oiFNO!$H$5:$T$200,12,0)</f>
        <v>224650</v>
      </c>
      <c r="N27" s="52">
        <f t="shared" si="5"/>
        <v>91350</v>
      </c>
      <c r="O27" s="45">
        <f t="shared" si="46"/>
        <v>487.25</v>
      </c>
      <c r="P27" s="24">
        <f t="shared" si="6"/>
        <v>474.7</v>
      </c>
      <c r="Q27" s="57"/>
      <c r="R27" s="58"/>
      <c r="S27" s="59" t="e">
        <f t="shared" ca="1" si="7"/>
        <v>#NAME?</v>
      </c>
      <c r="T27" s="59" t="e">
        <f t="shared" ca="1" si="8"/>
        <v>#NAME?</v>
      </c>
      <c r="U27" s="60">
        <v>0.5</v>
      </c>
      <c r="V27" s="61" t="e">
        <f t="shared" ca="1" si="9"/>
        <v>#NAME?</v>
      </c>
      <c r="W27" s="61" t="e">
        <f t="shared" ca="1" si="10"/>
        <v>#NAME?</v>
      </c>
      <c r="X27" s="61" t="e">
        <f t="shared" ref="X27:Y27" ca="1" si="68">NORMSDIST(V27)</f>
        <v>#NAME?</v>
      </c>
      <c r="Y27" s="61" t="e">
        <f t="shared" ca="1" si="68"/>
        <v>#NAME?</v>
      </c>
      <c r="Z27" s="61" t="e">
        <f t="shared" ca="1" si="12"/>
        <v>#NAME?</v>
      </c>
      <c r="AA27" s="62" t="e">
        <f t="shared" ca="1" si="13"/>
        <v>#NAME?</v>
      </c>
      <c r="AB27" s="61" t="e">
        <f t="shared" ca="1" si="14"/>
        <v>#NAME?</v>
      </c>
      <c r="AC27" s="61" t="e">
        <f t="shared" ca="1" si="15"/>
        <v>#NAME?</v>
      </c>
      <c r="AD27" s="61" t="e">
        <f t="shared" ca="1" si="16"/>
        <v>#NAME?</v>
      </c>
      <c r="AE27" s="61" t="e">
        <f t="shared" ca="1" si="17"/>
        <v>#NAME?</v>
      </c>
      <c r="AF27" s="63" t="e">
        <f t="shared" ca="1" si="18"/>
        <v>#NAME?</v>
      </c>
      <c r="AG27" s="61">
        <v>0.5</v>
      </c>
      <c r="AH27" s="61" t="e">
        <f t="shared" ca="1" si="19"/>
        <v>#NAME?</v>
      </c>
      <c r="AI27" s="61" t="e">
        <f t="shared" ca="1" si="20"/>
        <v>#NAME?</v>
      </c>
      <c r="AJ27" s="61" t="e">
        <f t="shared" ref="AJ27:AK27" ca="1" si="69">NORMSDIST(AH27)</f>
        <v>#NAME?</v>
      </c>
      <c r="AK27" s="60" t="e">
        <f t="shared" ca="1" si="69"/>
        <v>#NAME?</v>
      </c>
      <c r="AL27" s="34" t="e">
        <f t="shared" ca="1" si="22"/>
        <v>#NAME?</v>
      </c>
      <c r="AM27" s="51" t="e">
        <f t="shared" ca="1" si="23"/>
        <v>#NAME?</v>
      </c>
      <c r="AN27" s="34" t="e">
        <f t="shared" ca="1" si="24"/>
        <v>#NAME?</v>
      </c>
      <c r="AO27" s="61" t="e">
        <f t="shared" ca="1" si="25"/>
        <v>#NAME?</v>
      </c>
      <c r="AP27" s="61" t="e">
        <f t="shared" ca="1" si="26"/>
        <v>#NAME?</v>
      </c>
      <c r="AQ27" s="61" t="e">
        <f t="shared" ca="1" si="27"/>
        <v>#NAME?</v>
      </c>
    </row>
    <row r="28" spans="1:43" ht="12" customHeight="1">
      <c r="A28" s="5"/>
      <c r="B28" s="5"/>
      <c r="C28" s="5"/>
      <c r="D28" s="52" t="s">
        <v>240</v>
      </c>
      <c r="E28" s="69">
        <f t="shared" ref="E28:F28" si="70">SUM(E7:E27)</f>
        <v>47937850</v>
      </c>
      <c r="F28" s="69">
        <f t="shared" si="70"/>
        <v>17798450</v>
      </c>
      <c r="G28" s="28"/>
      <c r="H28" s="28"/>
      <c r="I28" s="28"/>
      <c r="J28" s="28"/>
      <c r="K28" s="28"/>
      <c r="L28" s="69">
        <f t="shared" ref="L28:M28" si="71">SUM(L7:L27)</f>
        <v>12005350</v>
      </c>
      <c r="M28" s="69">
        <f t="shared" si="71"/>
        <v>41766300</v>
      </c>
      <c r="N28" s="52" t="s">
        <v>240</v>
      </c>
      <c r="O28" s="5"/>
      <c r="P28" s="5"/>
      <c r="Q28" s="5"/>
      <c r="R28" s="5"/>
      <c r="S28" s="5"/>
      <c r="T28" s="5"/>
      <c r="U28" s="70"/>
      <c r="V28" s="71"/>
      <c r="W28" s="71"/>
      <c r="X28" s="71"/>
      <c r="Y28" s="71"/>
      <c r="Z28" s="71"/>
      <c r="AA28" s="72"/>
      <c r="AB28" s="71"/>
      <c r="AC28" s="71"/>
      <c r="AD28" s="71"/>
      <c r="AE28" s="71"/>
      <c r="AF28" s="63"/>
      <c r="AG28" s="5" t="s">
        <v>223</v>
      </c>
      <c r="AH28" s="71"/>
      <c r="AI28" s="71"/>
      <c r="AJ28" s="61"/>
      <c r="AK28" s="60"/>
      <c r="AL28" s="34"/>
      <c r="AM28" s="51"/>
      <c r="AN28" s="34"/>
      <c r="AO28" s="61"/>
      <c r="AP28" s="61"/>
      <c r="AQ28" s="61"/>
    </row>
    <row r="29" spans="1:43" ht="12" hidden="1" customHeight="1">
      <c r="A29" s="5"/>
      <c r="B29" s="5"/>
      <c r="C29" s="5"/>
      <c r="D29" s="5"/>
      <c r="E29" s="5"/>
      <c r="F29" s="5"/>
      <c r="G29" s="5"/>
      <c r="H29" s="5"/>
      <c r="I29" s="5">
        <f t="shared" ref="I29:I49" si="72">I7</f>
        <v>18000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73" t="e">
        <f t="shared" ref="T29:T49" ca="1" si="73">S7</f>
        <v>#NAME?</v>
      </c>
      <c r="U29" s="60" t="e">
        <f t="shared" ref="U29:U49" ca="1" si="74">T29</f>
        <v>#NAME?</v>
      </c>
      <c r="V29" s="61" t="e">
        <f t="shared" ref="V29:V49" ca="1" si="75">IF(ISBLANK($N$2),LN($I$4/I29)+(($M$2 + (0.5*(U29^2)))*$P$2),LN($I$4/I29)+(($M$2 -$N$2+ (0.5*(U29^2)))*$P$2))/(U29*$P$2^0.5)</f>
        <v>#NAME?</v>
      </c>
      <c r="W29" s="61" t="e">
        <f t="shared" ref="W29:W49" ca="1" si="76">V29-U29*$P$2^0.5</f>
        <v>#NAME?</v>
      </c>
      <c r="X29" s="61" t="e">
        <f t="shared" ref="X29:Y29" ca="1" si="77">NORMSDIST(V29)</f>
        <v>#NAME?</v>
      </c>
      <c r="Y29" s="61" t="e">
        <f t="shared" ca="1" si="77"/>
        <v>#NAME?</v>
      </c>
      <c r="Z29" s="61" t="e">
        <f t="shared" ref="Z29:Z49" ca="1" si="78">1/(2*PI())^0.5*(EXP(-(V29^2)/2))</f>
        <v>#NAME?</v>
      </c>
      <c r="AA29" s="62" t="e">
        <f t="shared" ref="AA29:AA49" ca="1" si="79">IF(ISBLANK($N$2),$I$4*X29-($I29*EXP(-$M$2*$P$2))*X29, EXP(-$N$2* $P$2) * ($I$4 * X29) - ($I29 * EXP(-$M$2 * $P$2) *Y29))</f>
        <v>#NAME?</v>
      </c>
      <c r="AB29" s="61" t="e">
        <f t="shared" ref="AB29:AB49" ca="1" si="80">X29*EXP(-$N$2 * $P$2)</f>
        <v>#NAME?</v>
      </c>
      <c r="AC29" s="61" t="e">
        <f t="shared" ref="AC29:AC49" ca="1" si="81">(Z29 * EXP(-$N$2 * $P$2)) / ($I$4 * U29 * ($P$2^ (1 / 2)))</f>
        <v>#NAME?</v>
      </c>
      <c r="AD29" s="61" t="e">
        <f t="shared" ref="AD29:AD49" ca="1" si="82">-($I$4 *Z29 * U29 * EXP(-$N$2 * $P$2)) / (2 * ($P$2 ^ (1 / 2))) + ($N$2 * $I$4* X29 * EXP(-$N$2 * $P$2)) - ($M$2 * $I29 * EXP(-$M$2 * $P$2) * Y29)</f>
        <v>#NAME?</v>
      </c>
      <c r="AE29" s="61" t="e">
        <f t="shared" ref="AE29:AE49" ca="1" si="83">$I$4 * ($P$2 ^ (1 / 2)) * Z29 * EXP(-$N$2 * $P$2)</f>
        <v>#NAME?</v>
      </c>
      <c r="AF29" s="61" t="e">
        <f t="shared" ref="AF29:AF49" ca="1" si="84">$I$4*SQRT($P$2)* _xlfn.NORM.DIST(V29, 0,1,FALSE)</f>
        <v>#NAME?</v>
      </c>
      <c r="AG29" s="61" t="e">
        <f t="shared" ref="AG29:AG49" ca="1" si="85">T7</f>
        <v>#NAME?</v>
      </c>
      <c r="AH29" s="61" t="e">
        <f t="shared" ref="AH29:AH49" ca="1" si="86">IF(ISBLANK($N$2),LN($I$4/I29)+(($M$2 + (0.5*(AG29^2)))*$P$2),LN($I$4/I29)+(($M$2 -$N$2+ (0.5*(AG29^2)))*$P$2))/(AG29*$P$2^0.5)</f>
        <v>#NAME?</v>
      </c>
      <c r="AI29" s="61" t="e">
        <f t="shared" ref="AI29:AI49" ca="1" si="87">AH29-AG29*$P$2^0.5</f>
        <v>#NAME?</v>
      </c>
      <c r="AJ29" s="61" t="e">
        <f t="shared" ref="AJ29:AK29" ca="1" si="88">NORMSDIST(AH29)</f>
        <v>#NAME?</v>
      </c>
      <c r="AK29" s="60" t="e">
        <f t="shared" ca="1" si="88"/>
        <v>#NAME?</v>
      </c>
      <c r="AL29" s="34" t="e">
        <f t="shared" ref="AL29:AL49" ca="1" si="89">1/(2*PI())^0.5*(EXP(-(AH29^2)/2))</f>
        <v>#NAME?</v>
      </c>
      <c r="AM29" s="51" t="e">
        <f t="shared" ref="AM29:AM49" ca="1" si="90">IF(ISBLANK($N$2),EXP(-$M$2 * $P$2) * $I29 * (1 - AK29) - $I$4 * (1 - AJ29),EXP(-$M$2 * $P$2) * $I29 * NORMSDIST(-AI29) - EXP(-$N$2 * $P$2) * $I$4 * NORMSDIST(-AH29))</f>
        <v>#NAME?</v>
      </c>
      <c r="AN29" s="34" t="e">
        <f t="shared" ref="AN29:AN49" ca="1" si="91">(AJ29 - 1) * EXP(-$N$2* $P$2)</f>
        <v>#NAME?</v>
      </c>
      <c r="AO29" s="61" t="e">
        <f t="shared" ref="AO29:AO49" ca="1" si="92">AC29</f>
        <v>#NAME?</v>
      </c>
      <c r="AP29" s="61" t="e">
        <f t="shared" ref="AP29:AP49" ca="1" si="93">-($I$4 * AL29 * AG29 * EXP(-$N$2* $P$2)) / (2 * ($P$2^ (1 / 2))) - ($N$2 * $I$4 * NORMSDIST(-AH29) * EXP(-$N$2 * $P$2)) + ($M$2* I29 * EXP(-$M$2 * $P$2) * NORMSDIST(-AI29))</f>
        <v>#NAME?</v>
      </c>
      <c r="AQ29" s="61" t="e">
        <f t="shared" ref="AQ29:AQ49" ca="1" si="94">AE29</f>
        <v>#NAME?</v>
      </c>
    </row>
    <row r="30" spans="1:43" ht="12" hidden="1" customHeight="1">
      <c r="A30" s="5"/>
      <c r="B30" s="5"/>
      <c r="C30" s="5"/>
      <c r="D30" s="5"/>
      <c r="E30" s="5"/>
      <c r="F30" s="5"/>
      <c r="G30" s="5"/>
      <c r="H30" s="5"/>
      <c r="I30" s="5">
        <f t="shared" si="72"/>
        <v>18050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73" t="e">
        <f t="shared" ca="1" si="73"/>
        <v>#NAME?</v>
      </c>
      <c r="U30" s="60" t="e">
        <f t="shared" ca="1" si="74"/>
        <v>#NAME?</v>
      </c>
      <c r="V30" s="61" t="e">
        <f t="shared" ca="1" si="75"/>
        <v>#NAME?</v>
      </c>
      <c r="W30" s="61" t="e">
        <f t="shared" ca="1" si="76"/>
        <v>#NAME?</v>
      </c>
      <c r="X30" s="61" t="e">
        <f t="shared" ref="X30:Y30" ca="1" si="95">NORMSDIST(V30)</f>
        <v>#NAME?</v>
      </c>
      <c r="Y30" s="61" t="e">
        <f t="shared" ca="1" si="95"/>
        <v>#NAME?</v>
      </c>
      <c r="Z30" s="61" t="e">
        <f t="shared" ca="1" si="78"/>
        <v>#NAME?</v>
      </c>
      <c r="AA30" s="62" t="e">
        <f t="shared" ca="1" si="79"/>
        <v>#NAME?</v>
      </c>
      <c r="AB30" s="61" t="e">
        <f t="shared" ca="1" si="80"/>
        <v>#NAME?</v>
      </c>
      <c r="AC30" s="61" t="e">
        <f t="shared" ca="1" si="81"/>
        <v>#NAME?</v>
      </c>
      <c r="AD30" s="61" t="e">
        <f t="shared" ca="1" si="82"/>
        <v>#NAME?</v>
      </c>
      <c r="AE30" s="61" t="e">
        <f t="shared" ca="1" si="83"/>
        <v>#NAME?</v>
      </c>
      <c r="AF30" s="61" t="e">
        <f t="shared" ca="1" si="84"/>
        <v>#NAME?</v>
      </c>
      <c r="AG30" s="61" t="e">
        <f t="shared" ca="1" si="85"/>
        <v>#NAME?</v>
      </c>
      <c r="AH30" s="61" t="e">
        <f t="shared" ca="1" si="86"/>
        <v>#NAME?</v>
      </c>
      <c r="AI30" s="61" t="e">
        <f t="shared" ca="1" si="87"/>
        <v>#NAME?</v>
      </c>
      <c r="AJ30" s="61" t="e">
        <f t="shared" ref="AJ30:AK30" ca="1" si="96">NORMSDIST(AH30)</f>
        <v>#NAME?</v>
      </c>
      <c r="AK30" s="60" t="e">
        <f t="shared" ca="1" si="96"/>
        <v>#NAME?</v>
      </c>
      <c r="AL30" s="34" t="e">
        <f t="shared" ca="1" si="89"/>
        <v>#NAME?</v>
      </c>
      <c r="AM30" s="51" t="e">
        <f t="shared" ca="1" si="90"/>
        <v>#NAME?</v>
      </c>
      <c r="AN30" s="34" t="e">
        <f t="shared" ca="1" si="91"/>
        <v>#NAME?</v>
      </c>
      <c r="AO30" s="61" t="e">
        <f t="shared" ca="1" si="92"/>
        <v>#NAME?</v>
      </c>
      <c r="AP30" s="61" t="e">
        <f t="shared" ca="1" si="93"/>
        <v>#NAME?</v>
      </c>
      <c r="AQ30" s="61" t="e">
        <f t="shared" ca="1" si="94"/>
        <v>#NAME?</v>
      </c>
    </row>
    <row r="31" spans="1:43" ht="12" hidden="1" customHeight="1">
      <c r="A31" s="5"/>
      <c r="B31" s="5"/>
      <c r="C31" s="5"/>
      <c r="D31" s="5"/>
      <c r="E31" s="5"/>
      <c r="F31" s="5"/>
      <c r="G31" s="5"/>
      <c r="H31" s="5"/>
      <c r="I31" s="5">
        <f t="shared" si="72"/>
        <v>18100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73" t="e">
        <f t="shared" ca="1" si="73"/>
        <v>#NAME?</v>
      </c>
      <c r="U31" s="60" t="e">
        <f t="shared" ca="1" si="74"/>
        <v>#NAME?</v>
      </c>
      <c r="V31" s="61" t="e">
        <f t="shared" ca="1" si="75"/>
        <v>#NAME?</v>
      </c>
      <c r="W31" s="61" t="e">
        <f t="shared" ca="1" si="76"/>
        <v>#NAME?</v>
      </c>
      <c r="X31" s="61" t="e">
        <f t="shared" ref="X31:Y31" ca="1" si="97">NORMSDIST(V31)</f>
        <v>#NAME?</v>
      </c>
      <c r="Y31" s="61" t="e">
        <f t="shared" ca="1" si="97"/>
        <v>#NAME?</v>
      </c>
      <c r="Z31" s="61" t="e">
        <f t="shared" ca="1" si="78"/>
        <v>#NAME?</v>
      </c>
      <c r="AA31" s="62" t="e">
        <f t="shared" ca="1" si="79"/>
        <v>#NAME?</v>
      </c>
      <c r="AB31" s="61" t="e">
        <f t="shared" ca="1" si="80"/>
        <v>#NAME?</v>
      </c>
      <c r="AC31" s="61" t="e">
        <f t="shared" ca="1" si="81"/>
        <v>#NAME?</v>
      </c>
      <c r="AD31" s="61" t="e">
        <f t="shared" ca="1" si="82"/>
        <v>#NAME?</v>
      </c>
      <c r="AE31" s="61" t="e">
        <f t="shared" ca="1" si="83"/>
        <v>#NAME?</v>
      </c>
      <c r="AF31" s="61" t="e">
        <f t="shared" ca="1" si="84"/>
        <v>#NAME?</v>
      </c>
      <c r="AG31" s="61" t="e">
        <f t="shared" ca="1" si="85"/>
        <v>#NAME?</v>
      </c>
      <c r="AH31" s="61" t="e">
        <f t="shared" ca="1" si="86"/>
        <v>#NAME?</v>
      </c>
      <c r="AI31" s="61" t="e">
        <f t="shared" ca="1" si="87"/>
        <v>#NAME?</v>
      </c>
      <c r="AJ31" s="61" t="e">
        <f t="shared" ref="AJ31:AK31" ca="1" si="98">NORMSDIST(AH31)</f>
        <v>#NAME?</v>
      </c>
      <c r="AK31" s="60" t="e">
        <f t="shared" ca="1" si="98"/>
        <v>#NAME?</v>
      </c>
      <c r="AL31" s="34" t="e">
        <f t="shared" ca="1" si="89"/>
        <v>#NAME?</v>
      </c>
      <c r="AM31" s="51" t="e">
        <f t="shared" ca="1" si="90"/>
        <v>#NAME?</v>
      </c>
      <c r="AN31" s="34" t="e">
        <f t="shared" ca="1" si="91"/>
        <v>#NAME?</v>
      </c>
      <c r="AO31" s="61" t="e">
        <f t="shared" ca="1" si="92"/>
        <v>#NAME?</v>
      </c>
      <c r="AP31" s="61" t="e">
        <f t="shared" ca="1" si="93"/>
        <v>#NAME?</v>
      </c>
      <c r="AQ31" s="61" t="e">
        <f t="shared" ca="1" si="94"/>
        <v>#NAME?</v>
      </c>
    </row>
    <row r="32" spans="1:43" ht="12" hidden="1" customHeight="1">
      <c r="A32" s="5"/>
      <c r="B32" s="5"/>
      <c r="C32" s="5"/>
      <c r="D32" s="5"/>
      <c r="E32" s="5"/>
      <c r="F32" s="5"/>
      <c r="G32" s="5"/>
      <c r="H32" s="5"/>
      <c r="I32" s="5">
        <f t="shared" si="72"/>
        <v>18150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73" t="e">
        <f t="shared" ca="1" si="73"/>
        <v>#NAME?</v>
      </c>
      <c r="U32" s="60" t="e">
        <f t="shared" ca="1" si="74"/>
        <v>#NAME?</v>
      </c>
      <c r="V32" s="61" t="e">
        <f t="shared" ca="1" si="75"/>
        <v>#NAME?</v>
      </c>
      <c r="W32" s="61" t="e">
        <f t="shared" ca="1" si="76"/>
        <v>#NAME?</v>
      </c>
      <c r="X32" s="61" t="e">
        <f t="shared" ref="X32:Y32" ca="1" si="99">NORMSDIST(V32)</f>
        <v>#NAME?</v>
      </c>
      <c r="Y32" s="61" t="e">
        <f t="shared" ca="1" si="99"/>
        <v>#NAME?</v>
      </c>
      <c r="Z32" s="61" t="e">
        <f t="shared" ca="1" si="78"/>
        <v>#NAME?</v>
      </c>
      <c r="AA32" s="62" t="e">
        <f t="shared" ca="1" si="79"/>
        <v>#NAME?</v>
      </c>
      <c r="AB32" s="61" t="e">
        <f t="shared" ca="1" si="80"/>
        <v>#NAME?</v>
      </c>
      <c r="AC32" s="61" t="e">
        <f t="shared" ca="1" si="81"/>
        <v>#NAME?</v>
      </c>
      <c r="AD32" s="61" t="e">
        <f t="shared" ca="1" si="82"/>
        <v>#NAME?</v>
      </c>
      <c r="AE32" s="61" t="e">
        <f t="shared" ca="1" si="83"/>
        <v>#NAME?</v>
      </c>
      <c r="AF32" s="61" t="e">
        <f t="shared" ca="1" si="84"/>
        <v>#NAME?</v>
      </c>
      <c r="AG32" s="61" t="e">
        <f t="shared" ca="1" si="85"/>
        <v>#NAME?</v>
      </c>
      <c r="AH32" s="61" t="e">
        <f t="shared" ca="1" si="86"/>
        <v>#NAME?</v>
      </c>
      <c r="AI32" s="61" t="e">
        <f t="shared" ca="1" si="87"/>
        <v>#NAME?</v>
      </c>
      <c r="AJ32" s="61" t="e">
        <f t="shared" ref="AJ32:AK32" ca="1" si="100">NORMSDIST(AH32)</f>
        <v>#NAME?</v>
      </c>
      <c r="AK32" s="60" t="e">
        <f t="shared" ca="1" si="100"/>
        <v>#NAME?</v>
      </c>
      <c r="AL32" s="34" t="e">
        <f t="shared" ca="1" si="89"/>
        <v>#NAME?</v>
      </c>
      <c r="AM32" s="51" t="e">
        <f t="shared" ca="1" si="90"/>
        <v>#NAME?</v>
      </c>
      <c r="AN32" s="34" t="e">
        <f t="shared" ca="1" si="91"/>
        <v>#NAME?</v>
      </c>
      <c r="AO32" s="61" t="e">
        <f t="shared" ca="1" si="92"/>
        <v>#NAME?</v>
      </c>
      <c r="AP32" s="61" t="e">
        <f t="shared" ca="1" si="93"/>
        <v>#NAME?</v>
      </c>
      <c r="AQ32" s="61" t="e">
        <f t="shared" ca="1" si="94"/>
        <v>#NAME?</v>
      </c>
    </row>
    <row r="33" spans="1:43" ht="12" hidden="1" customHeight="1">
      <c r="A33" s="5"/>
      <c r="B33" s="5"/>
      <c r="C33" s="5"/>
      <c r="D33" s="5"/>
      <c r="E33" s="5"/>
      <c r="F33" s="5"/>
      <c r="G33" s="5"/>
      <c r="H33" s="5"/>
      <c r="I33" s="5">
        <f t="shared" si="72"/>
        <v>18200</v>
      </c>
      <c r="J33" s="5"/>
      <c r="K33" s="5"/>
      <c r="L33" s="5"/>
      <c r="M33" s="5"/>
      <c r="N33" s="5"/>
      <c r="O33" s="5"/>
      <c r="P33" s="5"/>
      <c r="Q33" s="5"/>
      <c r="R33" s="5"/>
      <c r="S33" s="5"/>
      <c r="T33" s="73" t="e">
        <f t="shared" ca="1" si="73"/>
        <v>#NAME?</v>
      </c>
      <c r="U33" s="60" t="e">
        <f t="shared" ca="1" si="74"/>
        <v>#NAME?</v>
      </c>
      <c r="V33" s="61" t="e">
        <f t="shared" ca="1" si="75"/>
        <v>#NAME?</v>
      </c>
      <c r="W33" s="61" t="e">
        <f t="shared" ca="1" si="76"/>
        <v>#NAME?</v>
      </c>
      <c r="X33" s="61" t="e">
        <f t="shared" ref="X33:Y33" ca="1" si="101">NORMSDIST(V33)</f>
        <v>#NAME?</v>
      </c>
      <c r="Y33" s="61" t="e">
        <f t="shared" ca="1" si="101"/>
        <v>#NAME?</v>
      </c>
      <c r="Z33" s="61" t="e">
        <f t="shared" ca="1" si="78"/>
        <v>#NAME?</v>
      </c>
      <c r="AA33" s="62" t="e">
        <f t="shared" ca="1" si="79"/>
        <v>#NAME?</v>
      </c>
      <c r="AB33" s="61" t="e">
        <f t="shared" ca="1" si="80"/>
        <v>#NAME?</v>
      </c>
      <c r="AC33" s="61" t="e">
        <f t="shared" ca="1" si="81"/>
        <v>#NAME?</v>
      </c>
      <c r="AD33" s="61" t="e">
        <f t="shared" ca="1" si="82"/>
        <v>#NAME?</v>
      </c>
      <c r="AE33" s="61" t="e">
        <f t="shared" ca="1" si="83"/>
        <v>#NAME?</v>
      </c>
      <c r="AF33" s="61" t="e">
        <f t="shared" ca="1" si="84"/>
        <v>#NAME?</v>
      </c>
      <c r="AG33" s="61" t="e">
        <f t="shared" ca="1" si="85"/>
        <v>#NAME?</v>
      </c>
      <c r="AH33" s="61" t="e">
        <f t="shared" ca="1" si="86"/>
        <v>#NAME?</v>
      </c>
      <c r="AI33" s="61" t="e">
        <f t="shared" ca="1" si="87"/>
        <v>#NAME?</v>
      </c>
      <c r="AJ33" s="61" t="e">
        <f t="shared" ref="AJ33:AK33" ca="1" si="102">NORMSDIST(AH33)</f>
        <v>#NAME?</v>
      </c>
      <c r="AK33" s="60" t="e">
        <f t="shared" ca="1" si="102"/>
        <v>#NAME?</v>
      </c>
      <c r="AL33" s="34" t="e">
        <f t="shared" ca="1" si="89"/>
        <v>#NAME?</v>
      </c>
      <c r="AM33" s="51" t="e">
        <f t="shared" ca="1" si="90"/>
        <v>#NAME?</v>
      </c>
      <c r="AN33" s="34" t="e">
        <f t="shared" ca="1" si="91"/>
        <v>#NAME?</v>
      </c>
      <c r="AO33" s="61" t="e">
        <f t="shared" ca="1" si="92"/>
        <v>#NAME?</v>
      </c>
      <c r="AP33" s="61" t="e">
        <f t="shared" ca="1" si="93"/>
        <v>#NAME?</v>
      </c>
      <c r="AQ33" s="61" t="e">
        <f t="shared" ca="1" si="94"/>
        <v>#NAME?</v>
      </c>
    </row>
    <row r="34" spans="1:43" ht="12" hidden="1" customHeight="1">
      <c r="A34" s="5"/>
      <c r="B34" s="5"/>
      <c r="C34" s="5"/>
      <c r="D34" s="5"/>
      <c r="E34" s="5"/>
      <c r="F34" s="5"/>
      <c r="G34" s="5"/>
      <c r="H34" s="5"/>
      <c r="I34" s="5">
        <f t="shared" si="72"/>
        <v>18250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73" t="e">
        <f t="shared" ca="1" si="73"/>
        <v>#NAME?</v>
      </c>
      <c r="U34" s="60" t="e">
        <f t="shared" ca="1" si="74"/>
        <v>#NAME?</v>
      </c>
      <c r="V34" s="61" t="e">
        <f t="shared" ca="1" si="75"/>
        <v>#NAME?</v>
      </c>
      <c r="W34" s="61" t="e">
        <f t="shared" ca="1" si="76"/>
        <v>#NAME?</v>
      </c>
      <c r="X34" s="61" t="e">
        <f t="shared" ref="X34:Y34" ca="1" si="103">NORMSDIST(V34)</f>
        <v>#NAME?</v>
      </c>
      <c r="Y34" s="61" t="e">
        <f t="shared" ca="1" si="103"/>
        <v>#NAME?</v>
      </c>
      <c r="Z34" s="61" t="e">
        <f t="shared" ca="1" si="78"/>
        <v>#NAME?</v>
      </c>
      <c r="AA34" s="62" t="e">
        <f t="shared" ca="1" si="79"/>
        <v>#NAME?</v>
      </c>
      <c r="AB34" s="61" t="e">
        <f t="shared" ca="1" si="80"/>
        <v>#NAME?</v>
      </c>
      <c r="AC34" s="61" t="e">
        <f t="shared" ca="1" si="81"/>
        <v>#NAME?</v>
      </c>
      <c r="AD34" s="61" t="e">
        <f t="shared" ca="1" si="82"/>
        <v>#NAME?</v>
      </c>
      <c r="AE34" s="61" t="e">
        <f t="shared" ca="1" si="83"/>
        <v>#NAME?</v>
      </c>
      <c r="AF34" s="61" t="e">
        <f t="shared" ca="1" si="84"/>
        <v>#NAME?</v>
      </c>
      <c r="AG34" s="61" t="e">
        <f t="shared" ca="1" si="85"/>
        <v>#NAME?</v>
      </c>
      <c r="AH34" s="61" t="e">
        <f t="shared" ca="1" si="86"/>
        <v>#NAME?</v>
      </c>
      <c r="AI34" s="61" t="e">
        <f t="shared" ca="1" si="87"/>
        <v>#NAME?</v>
      </c>
      <c r="AJ34" s="61" t="e">
        <f t="shared" ref="AJ34:AK34" ca="1" si="104">NORMSDIST(AH34)</f>
        <v>#NAME?</v>
      </c>
      <c r="AK34" s="60" t="e">
        <f t="shared" ca="1" si="104"/>
        <v>#NAME?</v>
      </c>
      <c r="AL34" s="34" t="e">
        <f t="shared" ca="1" si="89"/>
        <v>#NAME?</v>
      </c>
      <c r="AM34" s="51" t="e">
        <f t="shared" ca="1" si="90"/>
        <v>#NAME?</v>
      </c>
      <c r="AN34" s="34" t="e">
        <f t="shared" ca="1" si="91"/>
        <v>#NAME?</v>
      </c>
      <c r="AO34" s="61" t="e">
        <f t="shared" ca="1" si="92"/>
        <v>#NAME?</v>
      </c>
      <c r="AP34" s="61" t="e">
        <f t="shared" ca="1" si="93"/>
        <v>#NAME?</v>
      </c>
      <c r="AQ34" s="61" t="e">
        <f t="shared" ca="1" si="94"/>
        <v>#NAME?</v>
      </c>
    </row>
    <row r="35" spans="1:43" ht="12" hidden="1" customHeight="1">
      <c r="A35" s="5"/>
      <c r="B35" s="5"/>
      <c r="C35" s="5"/>
      <c r="D35" s="5"/>
      <c r="E35" s="5"/>
      <c r="F35" s="5"/>
      <c r="G35" s="5"/>
      <c r="H35" s="5"/>
      <c r="I35" s="5">
        <f t="shared" si="72"/>
        <v>18300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73" t="e">
        <f t="shared" ca="1" si="73"/>
        <v>#NAME?</v>
      </c>
      <c r="U35" s="60" t="e">
        <f t="shared" ca="1" si="74"/>
        <v>#NAME?</v>
      </c>
      <c r="V35" s="61" t="e">
        <f t="shared" ca="1" si="75"/>
        <v>#NAME?</v>
      </c>
      <c r="W35" s="61" t="e">
        <f t="shared" ca="1" si="76"/>
        <v>#NAME?</v>
      </c>
      <c r="X35" s="61" t="e">
        <f t="shared" ref="X35:Y35" ca="1" si="105">NORMSDIST(V35)</f>
        <v>#NAME?</v>
      </c>
      <c r="Y35" s="61" t="e">
        <f t="shared" ca="1" si="105"/>
        <v>#NAME?</v>
      </c>
      <c r="Z35" s="61" t="e">
        <f t="shared" ca="1" si="78"/>
        <v>#NAME?</v>
      </c>
      <c r="AA35" s="62" t="e">
        <f t="shared" ca="1" si="79"/>
        <v>#NAME?</v>
      </c>
      <c r="AB35" s="61" t="e">
        <f t="shared" ca="1" si="80"/>
        <v>#NAME?</v>
      </c>
      <c r="AC35" s="61" t="e">
        <f t="shared" ca="1" si="81"/>
        <v>#NAME?</v>
      </c>
      <c r="AD35" s="61" t="e">
        <f t="shared" ca="1" si="82"/>
        <v>#NAME?</v>
      </c>
      <c r="AE35" s="61" t="e">
        <f t="shared" ca="1" si="83"/>
        <v>#NAME?</v>
      </c>
      <c r="AF35" s="61" t="e">
        <f t="shared" ca="1" si="84"/>
        <v>#NAME?</v>
      </c>
      <c r="AG35" s="61" t="e">
        <f t="shared" ca="1" si="85"/>
        <v>#NAME?</v>
      </c>
      <c r="AH35" s="61" t="e">
        <f t="shared" ca="1" si="86"/>
        <v>#NAME?</v>
      </c>
      <c r="AI35" s="61" t="e">
        <f t="shared" ca="1" si="87"/>
        <v>#NAME?</v>
      </c>
      <c r="AJ35" s="61" t="e">
        <f t="shared" ref="AJ35:AK35" ca="1" si="106">NORMSDIST(AH35)</f>
        <v>#NAME?</v>
      </c>
      <c r="AK35" s="60" t="e">
        <f t="shared" ca="1" si="106"/>
        <v>#NAME?</v>
      </c>
      <c r="AL35" s="34" t="e">
        <f t="shared" ca="1" si="89"/>
        <v>#NAME?</v>
      </c>
      <c r="AM35" s="51" t="e">
        <f t="shared" ca="1" si="90"/>
        <v>#NAME?</v>
      </c>
      <c r="AN35" s="34" t="e">
        <f t="shared" ca="1" si="91"/>
        <v>#NAME?</v>
      </c>
      <c r="AO35" s="61" t="e">
        <f t="shared" ca="1" si="92"/>
        <v>#NAME?</v>
      </c>
      <c r="AP35" s="61" t="e">
        <f t="shared" ca="1" si="93"/>
        <v>#NAME?</v>
      </c>
      <c r="AQ35" s="61" t="e">
        <f t="shared" ca="1" si="94"/>
        <v>#NAME?</v>
      </c>
    </row>
    <row r="36" spans="1:43" ht="12" hidden="1" customHeight="1">
      <c r="A36" s="5"/>
      <c r="B36" s="5"/>
      <c r="C36" s="5"/>
      <c r="D36" s="5"/>
      <c r="E36" s="5"/>
      <c r="F36" s="5"/>
      <c r="G36" s="5"/>
      <c r="H36" s="5"/>
      <c r="I36" s="5">
        <f t="shared" si="72"/>
        <v>18350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73" t="e">
        <f t="shared" ca="1" si="73"/>
        <v>#NAME?</v>
      </c>
      <c r="U36" s="60" t="e">
        <f t="shared" ca="1" si="74"/>
        <v>#NAME?</v>
      </c>
      <c r="V36" s="61" t="e">
        <f t="shared" ca="1" si="75"/>
        <v>#NAME?</v>
      </c>
      <c r="W36" s="61" t="e">
        <f t="shared" ca="1" si="76"/>
        <v>#NAME?</v>
      </c>
      <c r="X36" s="61" t="e">
        <f t="shared" ref="X36:Y36" ca="1" si="107">NORMSDIST(V36)</f>
        <v>#NAME?</v>
      </c>
      <c r="Y36" s="61" t="e">
        <f t="shared" ca="1" si="107"/>
        <v>#NAME?</v>
      </c>
      <c r="Z36" s="61" t="e">
        <f t="shared" ca="1" si="78"/>
        <v>#NAME?</v>
      </c>
      <c r="AA36" s="62" t="e">
        <f t="shared" ca="1" si="79"/>
        <v>#NAME?</v>
      </c>
      <c r="AB36" s="61" t="e">
        <f t="shared" ca="1" si="80"/>
        <v>#NAME?</v>
      </c>
      <c r="AC36" s="61" t="e">
        <f t="shared" ca="1" si="81"/>
        <v>#NAME?</v>
      </c>
      <c r="AD36" s="61" t="e">
        <f t="shared" ca="1" si="82"/>
        <v>#NAME?</v>
      </c>
      <c r="AE36" s="61" t="e">
        <f t="shared" ca="1" si="83"/>
        <v>#NAME?</v>
      </c>
      <c r="AF36" s="61" t="e">
        <f t="shared" ca="1" si="84"/>
        <v>#NAME?</v>
      </c>
      <c r="AG36" s="61" t="e">
        <f t="shared" ca="1" si="85"/>
        <v>#NAME?</v>
      </c>
      <c r="AH36" s="61" t="e">
        <f t="shared" ca="1" si="86"/>
        <v>#NAME?</v>
      </c>
      <c r="AI36" s="61" t="e">
        <f t="shared" ca="1" si="87"/>
        <v>#NAME?</v>
      </c>
      <c r="AJ36" s="61" t="e">
        <f t="shared" ref="AJ36:AK36" ca="1" si="108">NORMSDIST(AH36)</f>
        <v>#NAME?</v>
      </c>
      <c r="AK36" s="60" t="e">
        <f t="shared" ca="1" si="108"/>
        <v>#NAME?</v>
      </c>
      <c r="AL36" s="34" t="e">
        <f t="shared" ca="1" si="89"/>
        <v>#NAME?</v>
      </c>
      <c r="AM36" s="51" t="e">
        <f t="shared" ca="1" si="90"/>
        <v>#NAME?</v>
      </c>
      <c r="AN36" s="34" t="e">
        <f t="shared" ca="1" si="91"/>
        <v>#NAME?</v>
      </c>
      <c r="AO36" s="61" t="e">
        <f t="shared" ca="1" si="92"/>
        <v>#NAME?</v>
      </c>
      <c r="AP36" s="61" t="e">
        <f t="shared" ca="1" si="93"/>
        <v>#NAME?</v>
      </c>
      <c r="AQ36" s="61" t="e">
        <f t="shared" ca="1" si="94"/>
        <v>#NAME?</v>
      </c>
    </row>
    <row r="37" spans="1:43" ht="12" hidden="1" customHeight="1">
      <c r="A37" s="5"/>
      <c r="B37" s="5"/>
      <c r="C37" s="5"/>
      <c r="D37" s="5"/>
      <c r="E37" s="5"/>
      <c r="F37" s="5"/>
      <c r="G37" s="5"/>
      <c r="H37" s="5"/>
      <c r="I37" s="5">
        <f t="shared" si="72"/>
        <v>18400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73" t="e">
        <f t="shared" ca="1" si="73"/>
        <v>#NAME?</v>
      </c>
      <c r="U37" s="60" t="e">
        <f t="shared" ca="1" si="74"/>
        <v>#NAME?</v>
      </c>
      <c r="V37" s="61" t="e">
        <f t="shared" ca="1" si="75"/>
        <v>#NAME?</v>
      </c>
      <c r="W37" s="61" t="e">
        <f t="shared" ca="1" si="76"/>
        <v>#NAME?</v>
      </c>
      <c r="X37" s="61" t="e">
        <f t="shared" ref="X37:Y37" ca="1" si="109">NORMSDIST(V37)</f>
        <v>#NAME?</v>
      </c>
      <c r="Y37" s="61" t="e">
        <f t="shared" ca="1" si="109"/>
        <v>#NAME?</v>
      </c>
      <c r="Z37" s="61" t="e">
        <f t="shared" ca="1" si="78"/>
        <v>#NAME?</v>
      </c>
      <c r="AA37" s="62" t="e">
        <f t="shared" ca="1" si="79"/>
        <v>#NAME?</v>
      </c>
      <c r="AB37" s="61" t="e">
        <f t="shared" ca="1" si="80"/>
        <v>#NAME?</v>
      </c>
      <c r="AC37" s="61" t="e">
        <f t="shared" ca="1" si="81"/>
        <v>#NAME?</v>
      </c>
      <c r="AD37" s="61" t="e">
        <f t="shared" ca="1" si="82"/>
        <v>#NAME?</v>
      </c>
      <c r="AE37" s="61" t="e">
        <f t="shared" ca="1" si="83"/>
        <v>#NAME?</v>
      </c>
      <c r="AF37" s="61" t="e">
        <f t="shared" ca="1" si="84"/>
        <v>#NAME?</v>
      </c>
      <c r="AG37" s="61" t="e">
        <f t="shared" ca="1" si="85"/>
        <v>#NAME?</v>
      </c>
      <c r="AH37" s="61" t="e">
        <f t="shared" ca="1" si="86"/>
        <v>#NAME?</v>
      </c>
      <c r="AI37" s="61" t="e">
        <f t="shared" ca="1" si="87"/>
        <v>#NAME?</v>
      </c>
      <c r="AJ37" s="61" t="e">
        <f t="shared" ref="AJ37:AK37" ca="1" si="110">NORMSDIST(AH37)</f>
        <v>#NAME?</v>
      </c>
      <c r="AK37" s="60" t="e">
        <f t="shared" ca="1" si="110"/>
        <v>#NAME?</v>
      </c>
      <c r="AL37" s="34" t="e">
        <f t="shared" ca="1" si="89"/>
        <v>#NAME?</v>
      </c>
      <c r="AM37" s="51" t="e">
        <f t="shared" ca="1" si="90"/>
        <v>#NAME?</v>
      </c>
      <c r="AN37" s="34" t="e">
        <f t="shared" ca="1" si="91"/>
        <v>#NAME?</v>
      </c>
      <c r="AO37" s="61" t="e">
        <f t="shared" ca="1" si="92"/>
        <v>#NAME?</v>
      </c>
      <c r="AP37" s="61" t="e">
        <f t="shared" ca="1" si="93"/>
        <v>#NAME?</v>
      </c>
      <c r="AQ37" s="61" t="e">
        <f t="shared" ca="1" si="94"/>
        <v>#NAME?</v>
      </c>
    </row>
    <row r="38" spans="1:43" ht="12" hidden="1" customHeight="1">
      <c r="A38" s="5"/>
      <c r="B38" s="5"/>
      <c r="C38" s="5"/>
      <c r="D38" s="5"/>
      <c r="E38" s="5"/>
      <c r="F38" s="5"/>
      <c r="G38" s="5"/>
      <c r="H38" s="5"/>
      <c r="I38" s="5">
        <f t="shared" si="72"/>
        <v>18450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73" t="e">
        <f t="shared" ca="1" si="73"/>
        <v>#NAME?</v>
      </c>
      <c r="U38" s="60" t="e">
        <f t="shared" ca="1" si="74"/>
        <v>#NAME?</v>
      </c>
      <c r="V38" s="61" t="e">
        <f t="shared" ca="1" si="75"/>
        <v>#NAME?</v>
      </c>
      <c r="W38" s="61" t="e">
        <f t="shared" ca="1" si="76"/>
        <v>#NAME?</v>
      </c>
      <c r="X38" s="61" t="e">
        <f t="shared" ref="X38:Y38" ca="1" si="111">NORMSDIST(V38)</f>
        <v>#NAME?</v>
      </c>
      <c r="Y38" s="61" t="e">
        <f t="shared" ca="1" si="111"/>
        <v>#NAME?</v>
      </c>
      <c r="Z38" s="61" t="e">
        <f t="shared" ca="1" si="78"/>
        <v>#NAME?</v>
      </c>
      <c r="AA38" s="62" t="e">
        <f t="shared" ca="1" si="79"/>
        <v>#NAME?</v>
      </c>
      <c r="AB38" s="61" t="e">
        <f t="shared" ca="1" si="80"/>
        <v>#NAME?</v>
      </c>
      <c r="AC38" s="61" t="e">
        <f t="shared" ca="1" si="81"/>
        <v>#NAME?</v>
      </c>
      <c r="AD38" s="61" t="e">
        <f t="shared" ca="1" si="82"/>
        <v>#NAME?</v>
      </c>
      <c r="AE38" s="61" t="e">
        <f t="shared" ca="1" si="83"/>
        <v>#NAME?</v>
      </c>
      <c r="AF38" s="61" t="e">
        <f t="shared" ca="1" si="84"/>
        <v>#NAME?</v>
      </c>
      <c r="AG38" s="61" t="e">
        <f t="shared" ca="1" si="85"/>
        <v>#NAME?</v>
      </c>
      <c r="AH38" s="61" t="e">
        <f t="shared" ca="1" si="86"/>
        <v>#NAME?</v>
      </c>
      <c r="AI38" s="61" t="e">
        <f t="shared" ca="1" si="87"/>
        <v>#NAME?</v>
      </c>
      <c r="AJ38" s="61" t="e">
        <f t="shared" ref="AJ38:AK38" ca="1" si="112">NORMSDIST(AH38)</f>
        <v>#NAME?</v>
      </c>
      <c r="AK38" s="60" t="e">
        <f t="shared" ca="1" si="112"/>
        <v>#NAME?</v>
      </c>
      <c r="AL38" s="34" t="e">
        <f t="shared" ca="1" si="89"/>
        <v>#NAME?</v>
      </c>
      <c r="AM38" s="51" t="e">
        <f t="shared" ca="1" si="90"/>
        <v>#NAME?</v>
      </c>
      <c r="AN38" s="34" t="e">
        <f t="shared" ca="1" si="91"/>
        <v>#NAME?</v>
      </c>
      <c r="AO38" s="61" t="e">
        <f t="shared" ca="1" si="92"/>
        <v>#NAME?</v>
      </c>
      <c r="AP38" s="61" t="e">
        <f t="shared" ca="1" si="93"/>
        <v>#NAME?</v>
      </c>
      <c r="AQ38" s="61" t="e">
        <f t="shared" ca="1" si="94"/>
        <v>#NAME?</v>
      </c>
    </row>
    <row r="39" spans="1:43" ht="12" hidden="1" customHeight="1">
      <c r="A39" s="5"/>
      <c r="B39" s="5"/>
      <c r="C39" s="5"/>
      <c r="D39" s="5"/>
      <c r="E39" s="5"/>
      <c r="F39" s="5"/>
      <c r="G39" s="5"/>
      <c r="H39" s="5"/>
      <c r="I39" s="74">
        <f t="shared" si="72"/>
        <v>18500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73" t="e">
        <f t="shared" ca="1" si="73"/>
        <v>#NAME?</v>
      </c>
      <c r="U39" s="60" t="e">
        <f t="shared" ca="1" si="74"/>
        <v>#NAME?</v>
      </c>
      <c r="V39" s="61" t="e">
        <f t="shared" ca="1" si="75"/>
        <v>#NAME?</v>
      </c>
      <c r="W39" s="61" t="e">
        <f t="shared" ca="1" si="76"/>
        <v>#NAME?</v>
      </c>
      <c r="X39" s="61" t="e">
        <f t="shared" ref="X39:Y39" ca="1" si="113">NORMSDIST(V39)</f>
        <v>#NAME?</v>
      </c>
      <c r="Y39" s="61" t="e">
        <f t="shared" ca="1" si="113"/>
        <v>#NAME?</v>
      </c>
      <c r="Z39" s="61" t="e">
        <f t="shared" ca="1" si="78"/>
        <v>#NAME?</v>
      </c>
      <c r="AA39" s="62" t="e">
        <f t="shared" ca="1" si="79"/>
        <v>#NAME?</v>
      </c>
      <c r="AB39" s="61" t="e">
        <f t="shared" ca="1" si="80"/>
        <v>#NAME?</v>
      </c>
      <c r="AC39" s="61" t="e">
        <f t="shared" ca="1" si="81"/>
        <v>#NAME?</v>
      </c>
      <c r="AD39" s="61" t="e">
        <f t="shared" ca="1" si="82"/>
        <v>#NAME?</v>
      </c>
      <c r="AE39" s="61" t="e">
        <f t="shared" ca="1" si="83"/>
        <v>#NAME?</v>
      </c>
      <c r="AF39" s="61" t="e">
        <f t="shared" ca="1" si="84"/>
        <v>#NAME?</v>
      </c>
      <c r="AG39" s="61" t="e">
        <f t="shared" ca="1" si="85"/>
        <v>#NAME?</v>
      </c>
      <c r="AH39" s="61" t="e">
        <f t="shared" ca="1" si="86"/>
        <v>#NAME?</v>
      </c>
      <c r="AI39" s="61" t="e">
        <f t="shared" ca="1" si="87"/>
        <v>#NAME?</v>
      </c>
      <c r="AJ39" s="61" t="e">
        <f t="shared" ref="AJ39:AK39" ca="1" si="114">NORMSDIST(AH39)</f>
        <v>#NAME?</v>
      </c>
      <c r="AK39" s="60" t="e">
        <f t="shared" ca="1" si="114"/>
        <v>#NAME?</v>
      </c>
      <c r="AL39" s="34" t="e">
        <f t="shared" ca="1" si="89"/>
        <v>#NAME?</v>
      </c>
      <c r="AM39" s="51" t="e">
        <f t="shared" ca="1" si="90"/>
        <v>#NAME?</v>
      </c>
      <c r="AN39" s="34" t="e">
        <f t="shared" ca="1" si="91"/>
        <v>#NAME?</v>
      </c>
      <c r="AO39" s="61" t="e">
        <f t="shared" ca="1" si="92"/>
        <v>#NAME?</v>
      </c>
      <c r="AP39" s="61" t="e">
        <f t="shared" ca="1" si="93"/>
        <v>#NAME?</v>
      </c>
      <c r="AQ39" s="61" t="e">
        <f t="shared" ca="1" si="94"/>
        <v>#NAME?</v>
      </c>
    </row>
    <row r="40" spans="1:43" ht="12" hidden="1" customHeight="1">
      <c r="A40" s="5"/>
      <c r="B40" s="5"/>
      <c r="C40" s="5"/>
      <c r="D40" s="5"/>
      <c r="E40" s="5"/>
      <c r="F40" s="5"/>
      <c r="G40" s="5"/>
      <c r="H40" s="5"/>
      <c r="I40" s="5">
        <f t="shared" si="72"/>
        <v>18550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73" t="e">
        <f t="shared" ca="1" si="73"/>
        <v>#NAME?</v>
      </c>
      <c r="U40" s="60" t="e">
        <f t="shared" ca="1" si="74"/>
        <v>#NAME?</v>
      </c>
      <c r="V40" s="61" t="e">
        <f t="shared" ca="1" si="75"/>
        <v>#NAME?</v>
      </c>
      <c r="W40" s="61" t="e">
        <f t="shared" ca="1" si="76"/>
        <v>#NAME?</v>
      </c>
      <c r="X40" s="61" t="e">
        <f t="shared" ref="X40:Y40" ca="1" si="115">NORMSDIST(V40)</f>
        <v>#NAME?</v>
      </c>
      <c r="Y40" s="61" t="e">
        <f t="shared" ca="1" si="115"/>
        <v>#NAME?</v>
      </c>
      <c r="Z40" s="61" t="e">
        <f t="shared" ca="1" si="78"/>
        <v>#NAME?</v>
      </c>
      <c r="AA40" s="62" t="e">
        <f t="shared" ca="1" si="79"/>
        <v>#NAME?</v>
      </c>
      <c r="AB40" s="61" t="e">
        <f t="shared" ca="1" si="80"/>
        <v>#NAME?</v>
      </c>
      <c r="AC40" s="61" t="e">
        <f t="shared" ca="1" si="81"/>
        <v>#NAME?</v>
      </c>
      <c r="AD40" s="61" t="e">
        <f t="shared" ca="1" si="82"/>
        <v>#NAME?</v>
      </c>
      <c r="AE40" s="61" t="e">
        <f t="shared" ca="1" si="83"/>
        <v>#NAME?</v>
      </c>
      <c r="AF40" s="61" t="e">
        <f t="shared" ca="1" si="84"/>
        <v>#NAME?</v>
      </c>
      <c r="AG40" s="61" t="e">
        <f t="shared" ca="1" si="85"/>
        <v>#NAME?</v>
      </c>
      <c r="AH40" s="61" t="e">
        <f t="shared" ca="1" si="86"/>
        <v>#NAME?</v>
      </c>
      <c r="AI40" s="61" t="e">
        <f t="shared" ca="1" si="87"/>
        <v>#NAME?</v>
      </c>
      <c r="AJ40" s="61" t="e">
        <f t="shared" ref="AJ40:AK40" ca="1" si="116">NORMSDIST(AH40)</f>
        <v>#NAME?</v>
      </c>
      <c r="AK40" s="60" t="e">
        <f t="shared" ca="1" si="116"/>
        <v>#NAME?</v>
      </c>
      <c r="AL40" s="34" t="e">
        <f t="shared" ca="1" si="89"/>
        <v>#NAME?</v>
      </c>
      <c r="AM40" s="51" t="e">
        <f t="shared" ca="1" si="90"/>
        <v>#NAME?</v>
      </c>
      <c r="AN40" s="34" t="e">
        <f t="shared" ca="1" si="91"/>
        <v>#NAME?</v>
      </c>
      <c r="AO40" s="61" t="e">
        <f t="shared" ca="1" si="92"/>
        <v>#NAME?</v>
      </c>
      <c r="AP40" s="61" t="e">
        <f t="shared" ca="1" si="93"/>
        <v>#NAME?</v>
      </c>
      <c r="AQ40" s="61" t="e">
        <f t="shared" ca="1" si="94"/>
        <v>#NAME?</v>
      </c>
    </row>
    <row r="41" spans="1:43" ht="12" hidden="1" customHeight="1">
      <c r="A41" s="5"/>
      <c r="B41" s="5"/>
      <c r="C41" s="5"/>
      <c r="D41" s="5"/>
      <c r="E41" s="5"/>
      <c r="F41" s="5"/>
      <c r="G41" s="5"/>
      <c r="H41" s="5"/>
      <c r="I41" s="5">
        <f t="shared" si="72"/>
        <v>18600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73" t="e">
        <f t="shared" ca="1" si="73"/>
        <v>#NAME?</v>
      </c>
      <c r="U41" s="60" t="e">
        <f t="shared" ca="1" si="74"/>
        <v>#NAME?</v>
      </c>
      <c r="V41" s="61" t="e">
        <f t="shared" ca="1" si="75"/>
        <v>#NAME?</v>
      </c>
      <c r="W41" s="61" t="e">
        <f t="shared" ca="1" si="76"/>
        <v>#NAME?</v>
      </c>
      <c r="X41" s="61" t="e">
        <f t="shared" ref="X41:Y41" ca="1" si="117">NORMSDIST(V41)</f>
        <v>#NAME?</v>
      </c>
      <c r="Y41" s="61" t="e">
        <f t="shared" ca="1" si="117"/>
        <v>#NAME?</v>
      </c>
      <c r="Z41" s="61" t="e">
        <f t="shared" ca="1" si="78"/>
        <v>#NAME?</v>
      </c>
      <c r="AA41" s="62" t="e">
        <f t="shared" ca="1" si="79"/>
        <v>#NAME?</v>
      </c>
      <c r="AB41" s="61" t="e">
        <f t="shared" ca="1" si="80"/>
        <v>#NAME?</v>
      </c>
      <c r="AC41" s="61" t="e">
        <f t="shared" ca="1" si="81"/>
        <v>#NAME?</v>
      </c>
      <c r="AD41" s="61" t="e">
        <f t="shared" ca="1" si="82"/>
        <v>#NAME?</v>
      </c>
      <c r="AE41" s="61" t="e">
        <f t="shared" ca="1" si="83"/>
        <v>#NAME?</v>
      </c>
      <c r="AF41" s="61" t="e">
        <f t="shared" ca="1" si="84"/>
        <v>#NAME?</v>
      </c>
      <c r="AG41" s="61" t="e">
        <f t="shared" ca="1" si="85"/>
        <v>#NAME?</v>
      </c>
      <c r="AH41" s="61" t="e">
        <f t="shared" ca="1" si="86"/>
        <v>#NAME?</v>
      </c>
      <c r="AI41" s="61" t="e">
        <f t="shared" ca="1" si="87"/>
        <v>#NAME?</v>
      </c>
      <c r="AJ41" s="61" t="e">
        <f t="shared" ref="AJ41:AK41" ca="1" si="118">NORMSDIST(AH41)</f>
        <v>#NAME?</v>
      </c>
      <c r="AK41" s="60" t="e">
        <f t="shared" ca="1" si="118"/>
        <v>#NAME?</v>
      </c>
      <c r="AL41" s="34" t="e">
        <f t="shared" ca="1" si="89"/>
        <v>#NAME?</v>
      </c>
      <c r="AM41" s="51" t="e">
        <f t="shared" ca="1" si="90"/>
        <v>#NAME?</v>
      </c>
      <c r="AN41" s="34" t="e">
        <f t="shared" ca="1" si="91"/>
        <v>#NAME?</v>
      </c>
      <c r="AO41" s="61" t="e">
        <f t="shared" ca="1" si="92"/>
        <v>#NAME?</v>
      </c>
      <c r="AP41" s="61" t="e">
        <f t="shared" ca="1" si="93"/>
        <v>#NAME?</v>
      </c>
      <c r="AQ41" s="61" t="e">
        <f t="shared" ca="1" si="94"/>
        <v>#NAME?</v>
      </c>
    </row>
    <row r="42" spans="1:43" ht="12" hidden="1" customHeight="1">
      <c r="A42" s="5"/>
      <c r="B42" s="5"/>
      <c r="C42" s="5"/>
      <c r="D42" s="5"/>
      <c r="E42" s="5"/>
      <c r="F42" s="5"/>
      <c r="G42" s="5"/>
      <c r="H42" s="5"/>
      <c r="I42" s="5">
        <f t="shared" si="72"/>
        <v>18650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73" t="e">
        <f t="shared" ca="1" si="73"/>
        <v>#NAME?</v>
      </c>
      <c r="U42" s="60" t="e">
        <f t="shared" ca="1" si="74"/>
        <v>#NAME?</v>
      </c>
      <c r="V42" s="61" t="e">
        <f t="shared" ca="1" si="75"/>
        <v>#NAME?</v>
      </c>
      <c r="W42" s="61" t="e">
        <f t="shared" ca="1" si="76"/>
        <v>#NAME?</v>
      </c>
      <c r="X42" s="61" t="e">
        <f t="shared" ref="X42:Y42" ca="1" si="119">NORMSDIST(V42)</f>
        <v>#NAME?</v>
      </c>
      <c r="Y42" s="61" t="e">
        <f t="shared" ca="1" si="119"/>
        <v>#NAME?</v>
      </c>
      <c r="Z42" s="61" t="e">
        <f t="shared" ca="1" si="78"/>
        <v>#NAME?</v>
      </c>
      <c r="AA42" s="62" t="e">
        <f t="shared" ca="1" si="79"/>
        <v>#NAME?</v>
      </c>
      <c r="AB42" s="61" t="e">
        <f t="shared" ca="1" si="80"/>
        <v>#NAME?</v>
      </c>
      <c r="AC42" s="61" t="e">
        <f t="shared" ca="1" si="81"/>
        <v>#NAME?</v>
      </c>
      <c r="AD42" s="61" t="e">
        <f t="shared" ca="1" si="82"/>
        <v>#NAME?</v>
      </c>
      <c r="AE42" s="61" t="e">
        <f t="shared" ca="1" si="83"/>
        <v>#NAME?</v>
      </c>
      <c r="AF42" s="61" t="e">
        <f t="shared" ca="1" si="84"/>
        <v>#NAME?</v>
      </c>
      <c r="AG42" s="61" t="e">
        <f t="shared" ca="1" si="85"/>
        <v>#NAME?</v>
      </c>
      <c r="AH42" s="61" t="e">
        <f t="shared" ca="1" si="86"/>
        <v>#NAME?</v>
      </c>
      <c r="AI42" s="61" t="e">
        <f t="shared" ca="1" si="87"/>
        <v>#NAME?</v>
      </c>
      <c r="AJ42" s="61" t="e">
        <f t="shared" ref="AJ42:AK42" ca="1" si="120">NORMSDIST(AH42)</f>
        <v>#NAME?</v>
      </c>
      <c r="AK42" s="60" t="e">
        <f t="shared" ca="1" si="120"/>
        <v>#NAME?</v>
      </c>
      <c r="AL42" s="34" t="e">
        <f t="shared" ca="1" si="89"/>
        <v>#NAME?</v>
      </c>
      <c r="AM42" s="51" t="e">
        <f t="shared" ca="1" si="90"/>
        <v>#NAME?</v>
      </c>
      <c r="AN42" s="34" t="e">
        <f t="shared" ca="1" si="91"/>
        <v>#NAME?</v>
      </c>
      <c r="AO42" s="61" t="e">
        <f t="shared" ca="1" si="92"/>
        <v>#NAME?</v>
      </c>
      <c r="AP42" s="61" t="e">
        <f t="shared" ca="1" si="93"/>
        <v>#NAME?</v>
      </c>
      <c r="AQ42" s="61" t="e">
        <f t="shared" ca="1" si="94"/>
        <v>#NAME?</v>
      </c>
    </row>
    <row r="43" spans="1:43" ht="12" hidden="1" customHeight="1">
      <c r="A43" s="5"/>
      <c r="B43" s="5"/>
      <c r="C43" s="5"/>
      <c r="D43" s="5"/>
      <c r="E43" s="5"/>
      <c r="F43" s="5"/>
      <c r="G43" s="5"/>
      <c r="H43" s="5"/>
      <c r="I43" s="5">
        <f t="shared" si="72"/>
        <v>18700</v>
      </c>
      <c r="J43" s="5"/>
      <c r="K43" s="5"/>
      <c r="L43" s="5"/>
      <c r="M43" s="5"/>
      <c r="N43" s="5"/>
      <c r="O43" s="5"/>
      <c r="P43" s="5"/>
      <c r="Q43" s="5"/>
      <c r="R43" s="5"/>
      <c r="S43" s="5"/>
      <c r="T43" s="73" t="e">
        <f t="shared" ca="1" si="73"/>
        <v>#NAME?</v>
      </c>
      <c r="U43" s="60" t="e">
        <f t="shared" ca="1" si="74"/>
        <v>#NAME?</v>
      </c>
      <c r="V43" s="61" t="e">
        <f t="shared" ca="1" si="75"/>
        <v>#NAME?</v>
      </c>
      <c r="W43" s="61" t="e">
        <f t="shared" ca="1" si="76"/>
        <v>#NAME?</v>
      </c>
      <c r="X43" s="61" t="e">
        <f t="shared" ref="X43:Y43" ca="1" si="121">NORMSDIST(V43)</f>
        <v>#NAME?</v>
      </c>
      <c r="Y43" s="61" t="e">
        <f t="shared" ca="1" si="121"/>
        <v>#NAME?</v>
      </c>
      <c r="Z43" s="61" t="e">
        <f t="shared" ca="1" si="78"/>
        <v>#NAME?</v>
      </c>
      <c r="AA43" s="62" t="e">
        <f t="shared" ca="1" si="79"/>
        <v>#NAME?</v>
      </c>
      <c r="AB43" s="61" t="e">
        <f t="shared" ca="1" si="80"/>
        <v>#NAME?</v>
      </c>
      <c r="AC43" s="61" t="e">
        <f t="shared" ca="1" si="81"/>
        <v>#NAME?</v>
      </c>
      <c r="AD43" s="61" t="e">
        <f t="shared" ca="1" si="82"/>
        <v>#NAME?</v>
      </c>
      <c r="AE43" s="61" t="e">
        <f t="shared" ca="1" si="83"/>
        <v>#NAME?</v>
      </c>
      <c r="AF43" s="61" t="e">
        <f t="shared" ca="1" si="84"/>
        <v>#NAME?</v>
      </c>
      <c r="AG43" s="61" t="e">
        <f t="shared" ca="1" si="85"/>
        <v>#NAME?</v>
      </c>
      <c r="AH43" s="61" t="e">
        <f t="shared" ca="1" si="86"/>
        <v>#NAME?</v>
      </c>
      <c r="AI43" s="61" t="e">
        <f t="shared" ca="1" si="87"/>
        <v>#NAME?</v>
      </c>
      <c r="AJ43" s="61" t="e">
        <f t="shared" ref="AJ43:AK43" ca="1" si="122">NORMSDIST(AH43)</f>
        <v>#NAME?</v>
      </c>
      <c r="AK43" s="60" t="e">
        <f t="shared" ca="1" si="122"/>
        <v>#NAME?</v>
      </c>
      <c r="AL43" s="34" t="e">
        <f t="shared" ca="1" si="89"/>
        <v>#NAME?</v>
      </c>
      <c r="AM43" s="51" t="e">
        <f t="shared" ca="1" si="90"/>
        <v>#NAME?</v>
      </c>
      <c r="AN43" s="34" t="e">
        <f t="shared" ca="1" si="91"/>
        <v>#NAME?</v>
      </c>
      <c r="AO43" s="61" t="e">
        <f t="shared" ca="1" si="92"/>
        <v>#NAME?</v>
      </c>
      <c r="AP43" s="61" t="e">
        <f t="shared" ca="1" si="93"/>
        <v>#NAME?</v>
      </c>
      <c r="AQ43" s="61" t="e">
        <f t="shared" ca="1" si="94"/>
        <v>#NAME?</v>
      </c>
    </row>
    <row r="44" spans="1:43" ht="12" hidden="1" customHeight="1">
      <c r="A44" s="5"/>
      <c r="B44" s="5"/>
      <c r="C44" s="5"/>
      <c r="D44" s="5"/>
      <c r="E44" s="5"/>
      <c r="F44" s="5"/>
      <c r="G44" s="5"/>
      <c r="H44" s="5"/>
      <c r="I44" s="5">
        <f t="shared" si="72"/>
        <v>18750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73" t="e">
        <f t="shared" ca="1" si="73"/>
        <v>#NAME?</v>
      </c>
      <c r="U44" s="60" t="e">
        <f t="shared" ca="1" si="74"/>
        <v>#NAME?</v>
      </c>
      <c r="V44" s="61" t="e">
        <f t="shared" ca="1" si="75"/>
        <v>#NAME?</v>
      </c>
      <c r="W44" s="61" t="e">
        <f t="shared" ca="1" si="76"/>
        <v>#NAME?</v>
      </c>
      <c r="X44" s="61" t="e">
        <f t="shared" ref="X44:Y44" ca="1" si="123">NORMSDIST(V44)</f>
        <v>#NAME?</v>
      </c>
      <c r="Y44" s="61" t="e">
        <f t="shared" ca="1" si="123"/>
        <v>#NAME?</v>
      </c>
      <c r="Z44" s="61" t="e">
        <f t="shared" ca="1" si="78"/>
        <v>#NAME?</v>
      </c>
      <c r="AA44" s="62" t="e">
        <f t="shared" ca="1" si="79"/>
        <v>#NAME?</v>
      </c>
      <c r="AB44" s="61" t="e">
        <f t="shared" ca="1" si="80"/>
        <v>#NAME?</v>
      </c>
      <c r="AC44" s="61" t="e">
        <f t="shared" ca="1" si="81"/>
        <v>#NAME?</v>
      </c>
      <c r="AD44" s="61" t="e">
        <f t="shared" ca="1" si="82"/>
        <v>#NAME?</v>
      </c>
      <c r="AE44" s="61" t="e">
        <f t="shared" ca="1" si="83"/>
        <v>#NAME?</v>
      </c>
      <c r="AF44" s="61" t="e">
        <f t="shared" ca="1" si="84"/>
        <v>#NAME?</v>
      </c>
      <c r="AG44" s="61" t="e">
        <f t="shared" ca="1" si="85"/>
        <v>#NAME?</v>
      </c>
      <c r="AH44" s="61" t="e">
        <f t="shared" ca="1" si="86"/>
        <v>#NAME?</v>
      </c>
      <c r="AI44" s="61" t="e">
        <f t="shared" ca="1" si="87"/>
        <v>#NAME?</v>
      </c>
      <c r="AJ44" s="61" t="e">
        <f t="shared" ref="AJ44:AK44" ca="1" si="124">NORMSDIST(AH44)</f>
        <v>#NAME?</v>
      </c>
      <c r="AK44" s="60" t="e">
        <f t="shared" ca="1" si="124"/>
        <v>#NAME?</v>
      </c>
      <c r="AL44" s="34" t="e">
        <f t="shared" ca="1" si="89"/>
        <v>#NAME?</v>
      </c>
      <c r="AM44" s="51" t="e">
        <f t="shared" ca="1" si="90"/>
        <v>#NAME?</v>
      </c>
      <c r="AN44" s="34" t="e">
        <f t="shared" ca="1" si="91"/>
        <v>#NAME?</v>
      </c>
      <c r="AO44" s="61" t="e">
        <f t="shared" ca="1" si="92"/>
        <v>#NAME?</v>
      </c>
      <c r="AP44" s="61" t="e">
        <f t="shared" ca="1" si="93"/>
        <v>#NAME?</v>
      </c>
      <c r="AQ44" s="61" t="e">
        <f t="shared" ca="1" si="94"/>
        <v>#NAME?</v>
      </c>
    </row>
    <row r="45" spans="1:43" ht="12" hidden="1" customHeight="1">
      <c r="A45" s="5"/>
      <c r="B45" s="5"/>
      <c r="C45" s="5"/>
      <c r="D45" s="5"/>
      <c r="E45" s="5"/>
      <c r="F45" s="5"/>
      <c r="G45" s="5"/>
      <c r="H45" s="5"/>
      <c r="I45" s="5">
        <f t="shared" si="72"/>
        <v>18800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73" t="e">
        <f t="shared" ca="1" si="73"/>
        <v>#NAME?</v>
      </c>
      <c r="U45" s="60" t="e">
        <f t="shared" ca="1" si="74"/>
        <v>#NAME?</v>
      </c>
      <c r="V45" s="61" t="e">
        <f t="shared" ca="1" si="75"/>
        <v>#NAME?</v>
      </c>
      <c r="W45" s="61" t="e">
        <f t="shared" ca="1" si="76"/>
        <v>#NAME?</v>
      </c>
      <c r="X45" s="61" t="e">
        <f t="shared" ref="X45:Y45" ca="1" si="125">NORMSDIST(V45)</f>
        <v>#NAME?</v>
      </c>
      <c r="Y45" s="61" t="e">
        <f t="shared" ca="1" si="125"/>
        <v>#NAME?</v>
      </c>
      <c r="Z45" s="61" t="e">
        <f t="shared" ca="1" si="78"/>
        <v>#NAME?</v>
      </c>
      <c r="AA45" s="62" t="e">
        <f t="shared" ca="1" si="79"/>
        <v>#NAME?</v>
      </c>
      <c r="AB45" s="61" t="e">
        <f t="shared" ca="1" si="80"/>
        <v>#NAME?</v>
      </c>
      <c r="AC45" s="61" t="e">
        <f t="shared" ca="1" si="81"/>
        <v>#NAME?</v>
      </c>
      <c r="AD45" s="61" t="e">
        <f t="shared" ca="1" si="82"/>
        <v>#NAME?</v>
      </c>
      <c r="AE45" s="61" t="e">
        <f t="shared" ca="1" si="83"/>
        <v>#NAME?</v>
      </c>
      <c r="AF45" s="61" t="e">
        <f t="shared" ca="1" si="84"/>
        <v>#NAME?</v>
      </c>
      <c r="AG45" s="61" t="e">
        <f t="shared" ca="1" si="85"/>
        <v>#NAME?</v>
      </c>
      <c r="AH45" s="61" t="e">
        <f t="shared" ca="1" si="86"/>
        <v>#NAME?</v>
      </c>
      <c r="AI45" s="61" t="e">
        <f t="shared" ca="1" si="87"/>
        <v>#NAME?</v>
      </c>
      <c r="AJ45" s="61" t="e">
        <f t="shared" ref="AJ45:AK45" ca="1" si="126">NORMSDIST(AH45)</f>
        <v>#NAME?</v>
      </c>
      <c r="AK45" s="60" t="e">
        <f t="shared" ca="1" si="126"/>
        <v>#NAME?</v>
      </c>
      <c r="AL45" s="34" t="e">
        <f t="shared" ca="1" si="89"/>
        <v>#NAME?</v>
      </c>
      <c r="AM45" s="51" t="e">
        <f t="shared" ca="1" si="90"/>
        <v>#NAME?</v>
      </c>
      <c r="AN45" s="34" t="e">
        <f t="shared" ca="1" si="91"/>
        <v>#NAME?</v>
      </c>
      <c r="AO45" s="61" t="e">
        <f t="shared" ca="1" si="92"/>
        <v>#NAME?</v>
      </c>
      <c r="AP45" s="61" t="e">
        <f t="shared" ca="1" si="93"/>
        <v>#NAME?</v>
      </c>
      <c r="AQ45" s="61" t="e">
        <f t="shared" ca="1" si="94"/>
        <v>#NAME?</v>
      </c>
    </row>
    <row r="46" spans="1:43" ht="12" hidden="1" customHeight="1">
      <c r="A46" s="5"/>
      <c r="B46" s="5"/>
      <c r="C46" s="5"/>
      <c r="D46" s="5"/>
      <c r="E46" s="5"/>
      <c r="F46" s="5"/>
      <c r="G46" s="5"/>
      <c r="H46" s="5"/>
      <c r="I46" s="5">
        <f t="shared" si="72"/>
        <v>18850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73" t="e">
        <f t="shared" ca="1" si="73"/>
        <v>#NAME?</v>
      </c>
      <c r="U46" s="60" t="e">
        <f t="shared" ca="1" si="74"/>
        <v>#NAME?</v>
      </c>
      <c r="V46" s="61" t="e">
        <f t="shared" ca="1" si="75"/>
        <v>#NAME?</v>
      </c>
      <c r="W46" s="61" t="e">
        <f t="shared" ca="1" si="76"/>
        <v>#NAME?</v>
      </c>
      <c r="X46" s="61" t="e">
        <f t="shared" ref="X46:Y46" ca="1" si="127">NORMSDIST(V46)</f>
        <v>#NAME?</v>
      </c>
      <c r="Y46" s="61" t="e">
        <f t="shared" ca="1" si="127"/>
        <v>#NAME?</v>
      </c>
      <c r="Z46" s="61" t="e">
        <f t="shared" ca="1" si="78"/>
        <v>#NAME?</v>
      </c>
      <c r="AA46" s="62" t="e">
        <f t="shared" ca="1" si="79"/>
        <v>#NAME?</v>
      </c>
      <c r="AB46" s="61" t="e">
        <f t="shared" ca="1" si="80"/>
        <v>#NAME?</v>
      </c>
      <c r="AC46" s="61" t="e">
        <f t="shared" ca="1" si="81"/>
        <v>#NAME?</v>
      </c>
      <c r="AD46" s="61" t="e">
        <f t="shared" ca="1" si="82"/>
        <v>#NAME?</v>
      </c>
      <c r="AE46" s="61" t="e">
        <f t="shared" ca="1" si="83"/>
        <v>#NAME?</v>
      </c>
      <c r="AF46" s="61" t="e">
        <f t="shared" ca="1" si="84"/>
        <v>#NAME?</v>
      </c>
      <c r="AG46" s="61" t="e">
        <f t="shared" ca="1" si="85"/>
        <v>#NAME?</v>
      </c>
      <c r="AH46" s="61" t="e">
        <f t="shared" ca="1" si="86"/>
        <v>#NAME?</v>
      </c>
      <c r="AI46" s="61" t="e">
        <f t="shared" ca="1" si="87"/>
        <v>#NAME?</v>
      </c>
      <c r="AJ46" s="61" t="e">
        <f t="shared" ref="AJ46:AK46" ca="1" si="128">NORMSDIST(AH46)</f>
        <v>#NAME?</v>
      </c>
      <c r="AK46" s="60" t="e">
        <f t="shared" ca="1" si="128"/>
        <v>#NAME?</v>
      </c>
      <c r="AL46" s="34" t="e">
        <f t="shared" ca="1" si="89"/>
        <v>#NAME?</v>
      </c>
      <c r="AM46" s="51" t="e">
        <f t="shared" ca="1" si="90"/>
        <v>#NAME?</v>
      </c>
      <c r="AN46" s="34" t="e">
        <f t="shared" ca="1" si="91"/>
        <v>#NAME?</v>
      </c>
      <c r="AO46" s="61" t="e">
        <f t="shared" ca="1" si="92"/>
        <v>#NAME?</v>
      </c>
      <c r="AP46" s="61" t="e">
        <f t="shared" ca="1" si="93"/>
        <v>#NAME?</v>
      </c>
      <c r="AQ46" s="61" t="e">
        <f t="shared" ca="1" si="94"/>
        <v>#NAME?</v>
      </c>
    </row>
    <row r="47" spans="1:43" ht="12" hidden="1" customHeight="1">
      <c r="A47" s="5"/>
      <c r="B47" s="5"/>
      <c r="C47" s="5"/>
      <c r="D47" s="5"/>
      <c r="E47" s="5"/>
      <c r="F47" s="5"/>
      <c r="G47" s="5"/>
      <c r="H47" s="5"/>
      <c r="I47" s="5">
        <f t="shared" si="72"/>
        <v>18900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73" t="e">
        <f t="shared" ca="1" si="73"/>
        <v>#NAME?</v>
      </c>
      <c r="U47" s="60" t="e">
        <f t="shared" ca="1" si="74"/>
        <v>#NAME?</v>
      </c>
      <c r="V47" s="61" t="e">
        <f t="shared" ca="1" si="75"/>
        <v>#NAME?</v>
      </c>
      <c r="W47" s="61" t="e">
        <f t="shared" ca="1" si="76"/>
        <v>#NAME?</v>
      </c>
      <c r="X47" s="61" t="e">
        <f t="shared" ref="X47:Y47" ca="1" si="129">NORMSDIST(V47)</f>
        <v>#NAME?</v>
      </c>
      <c r="Y47" s="61" t="e">
        <f t="shared" ca="1" si="129"/>
        <v>#NAME?</v>
      </c>
      <c r="Z47" s="61" t="e">
        <f t="shared" ca="1" si="78"/>
        <v>#NAME?</v>
      </c>
      <c r="AA47" s="62" t="e">
        <f t="shared" ca="1" si="79"/>
        <v>#NAME?</v>
      </c>
      <c r="AB47" s="61" t="e">
        <f t="shared" ca="1" si="80"/>
        <v>#NAME?</v>
      </c>
      <c r="AC47" s="61" t="e">
        <f t="shared" ca="1" si="81"/>
        <v>#NAME?</v>
      </c>
      <c r="AD47" s="61" t="e">
        <f t="shared" ca="1" si="82"/>
        <v>#NAME?</v>
      </c>
      <c r="AE47" s="61" t="e">
        <f t="shared" ca="1" si="83"/>
        <v>#NAME?</v>
      </c>
      <c r="AF47" s="61" t="e">
        <f t="shared" ca="1" si="84"/>
        <v>#NAME?</v>
      </c>
      <c r="AG47" s="61" t="e">
        <f t="shared" ca="1" si="85"/>
        <v>#NAME?</v>
      </c>
      <c r="AH47" s="61" t="e">
        <f t="shared" ca="1" si="86"/>
        <v>#NAME?</v>
      </c>
      <c r="AI47" s="61" t="e">
        <f t="shared" ca="1" si="87"/>
        <v>#NAME?</v>
      </c>
      <c r="AJ47" s="61" t="e">
        <f t="shared" ref="AJ47:AK47" ca="1" si="130">NORMSDIST(AH47)</f>
        <v>#NAME?</v>
      </c>
      <c r="AK47" s="60" t="e">
        <f t="shared" ca="1" si="130"/>
        <v>#NAME?</v>
      </c>
      <c r="AL47" s="34" t="e">
        <f t="shared" ca="1" si="89"/>
        <v>#NAME?</v>
      </c>
      <c r="AM47" s="51" t="e">
        <f t="shared" ca="1" si="90"/>
        <v>#NAME?</v>
      </c>
      <c r="AN47" s="34" t="e">
        <f t="shared" ca="1" si="91"/>
        <v>#NAME?</v>
      </c>
      <c r="AO47" s="61" t="e">
        <f t="shared" ca="1" si="92"/>
        <v>#NAME?</v>
      </c>
      <c r="AP47" s="61" t="e">
        <f t="shared" ca="1" si="93"/>
        <v>#NAME?</v>
      </c>
      <c r="AQ47" s="61" t="e">
        <f t="shared" ca="1" si="94"/>
        <v>#NAME?</v>
      </c>
    </row>
    <row r="48" spans="1:43" ht="12" hidden="1" customHeight="1">
      <c r="A48" s="5"/>
      <c r="B48" s="5"/>
      <c r="C48" s="5"/>
      <c r="D48" s="5"/>
      <c r="E48" s="5"/>
      <c r="F48" s="5"/>
      <c r="G48" s="5"/>
      <c r="H48" s="5"/>
      <c r="I48" s="5">
        <f t="shared" si="72"/>
        <v>18950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73" t="e">
        <f t="shared" ca="1" si="73"/>
        <v>#NAME?</v>
      </c>
      <c r="U48" s="60" t="e">
        <f t="shared" ca="1" si="74"/>
        <v>#NAME?</v>
      </c>
      <c r="V48" s="61" t="e">
        <f t="shared" ca="1" si="75"/>
        <v>#NAME?</v>
      </c>
      <c r="W48" s="61" t="e">
        <f t="shared" ca="1" si="76"/>
        <v>#NAME?</v>
      </c>
      <c r="X48" s="61" t="e">
        <f t="shared" ref="X48:Y48" ca="1" si="131">NORMSDIST(V48)</f>
        <v>#NAME?</v>
      </c>
      <c r="Y48" s="61" t="e">
        <f t="shared" ca="1" si="131"/>
        <v>#NAME?</v>
      </c>
      <c r="Z48" s="61" t="e">
        <f t="shared" ca="1" si="78"/>
        <v>#NAME?</v>
      </c>
      <c r="AA48" s="62" t="e">
        <f t="shared" ca="1" si="79"/>
        <v>#NAME?</v>
      </c>
      <c r="AB48" s="61" t="e">
        <f t="shared" ca="1" si="80"/>
        <v>#NAME?</v>
      </c>
      <c r="AC48" s="61" t="e">
        <f t="shared" ca="1" si="81"/>
        <v>#NAME?</v>
      </c>
      <c r="AD48" s="61" t="e">
        <f t="shared" ca="1" si="82"/>
        <v>#NAME?</v>
      </c>
      <c r="AE48" s="61" t="e">
        <f t="shared" ca="1" si="83"/>
        <v>#NAME?</v>
      </c>
      <c r="AF48" s="61" t="e">
        <f t="shared" ca="1" si="84"/>
        <v>#NAME?</v>
      </c>
      <c r="AG48" s="61" t="e">
        <f t="shared" ca="1" si="85"/>
        <v>#NAME?</v>
      </c>
      <c r="AH48" s="61" t="e">
        <f t="shared" ca="1" si="86"/>
        <v>#NAME?</v>
      </c>
      <c r="AI48" s="61" t="e">
        <f t="shared" ca="1" si="87"/>
        <v>#NAME?</v>
      </c>
      <c r="AJ48" s="61" t="e">
        <f t="shared" ref="AJ48:AK48" ca="1" si="132">NORMSDIST(AH48)</f>
        <v>#NAME?</v>
      </c>
      <c r="AK48" s="60" t="e">
        <f t="shared" ca="1" si="132"/>
        <v>#NAME?</v>
      </c>
      <c r="AL48" s="34" t="e">
        <f t="shared" ca="1" si="89"/>
        <v>#NAME?</v>
      </c>
      <c r="AM48" s="51" t="e">
        <f t="shared" ca="1" si="90"/>
        <v>#NAME?</v>
      </c>
      <c r="AN48" s="34" t="e">
        <f t="shared" ca="1" si="91"/>
        <v>#NAME?</v>
      </c>
      <c r="AO48" s="61" t="e">
        <f t="shared" ca="1" si="92"/>
        <v>#NAME?</v>
      </c>
      <c r="AP48" s="61" t="e">
        <f t="shared" ca="1" si="93"/>
        <v>#NAME?</v>
      </c>
      <c r="AQ48" s="61" t="e">
        <f t="shared" ca="1" si="94"/>
        <v>#NAME?</v>
      </c>
    </row>
    <row r="49" spans="1:43" ht="12" hidden="1" customHeight="1">
      <c r="A49" s="5"/>
      <c r="B49" s="5"/>
      <c r="C49" s="5"/>
      <c r="D49" s="5"/>
      <c r="E49" s="5"/>
      <c r="F49" s="5"/>
      <c r="G49" s="5"/>
      <c r="H49" s="5"/>
      <c r="I49" s="5">
        <f t="shared" si="72"/>
        <v>19000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73" t="e">
        <f t="shared" ca="1" si="73"/>
        <v>#NAME?</v>
      </c>
      <c r="U49" s="60" t="e">
        <f t="shared" ca="1" si="74"/>
        <v>#NAME?</v>
      </c>
      <c r="V49" s="61" t="e">
        <f t="shared" ca="1" si="75"/>
        <v>#NAME?</v>
      </c>
      <c r="W49" s="61" t="e">
        <f t="shared" ca="1" si="76"/>
        <v>#NAME?</v>
      </c>
      <c r="X49" s="61" t="e">
        <f t="shared" ref="X49:Y49" ca="1" si="133">NORMSDIST(V49)</f>
        <v>#NAME?</v>
      </c>
      <c r="Y49" s="61" t="e">
        <f t="shared" ca="1" si="133"/>
        <v>#NAME?</v>
      </c>
      <c r="Z49" s="61" t="e">
        <f t="shared" ca="1" si="78"/>
        <v>#NAME?</v>
      </c>
      <c r="AA49" s="62" t="e">
        <f t="shared" ca="1" si="79"/>
        <v>#NAME?</v>
      </c>
      <c r="AB49" s="61" t="e">
        <f t="shared" ca="1" si="80"/>
        <v>#NAME?</v>
      </c>
      <c r="AC49" s="61" t="e">
        <f t="shared" ca="1" si="81"/>
        <v>#NAME?</v>
      </c>
      <c r="AD49" s="61" t="e">
        <f t="shared" ca="1" si="82"/>
        <v>#NAME?</v>
      </c>
      <c r="AE49" s="61" t="e">
        <f t="shared" ca="1" si="83"/>
        <v>#NAME?</v>
      </c>
      <c r="AF49" s="61" t="e">
        <f t="shared" ca="1" si="84"/>
        <v>#NAME?</v>
      </c>
      <c r="AG49" s="61" t="e">
        <f t="shared" ca="1" si="85"/>
        <v>#NAME?</v>
      </c>
      <c r="AH49" s="61" t="e">
        <f t="shared" ca="1" si="86"/>
        <v>#NAME?</v>
      </c>
      <c r="AI49" s="61" t="e">
        <f t="shared" ca="1" si="87"/>
        <v>#NAME?</v>
      </c>
      <c r="AJ49" s="61" t="e">
        <f t="shared" ref="AJ49:AK49" ca="1" si="134">NORMSDIST(AH49)</f>
        <v>#NAME?</v>
      </c>
      <c r="AK49" s="60" t="e">
        <f t="shared" ca="1" si="134"/>
        <v>#NAME?</v>
      </c>
      <c r="AL49" s="34" t="e">
        <f t="shared" ca="1" si="89"/>
        <v>#NAME?</v>
      </c>
      <c r="AM49" s="51" t="e">
        <f t="shared" ca="1" si="90"/>
        <v>#NAME?</v>
      </c>
      <c r="AN49" s="34" t="e">
        <f t="shared" ca="1" si="91"/>
        <v>#NAME?</v>
      </c>
      <c r="AO49" s="61" t="e">
        <f t="shared" ca="1" si="92"/>
        <v>#NAME?</v>
      </c>
      <c r="AP49" s="61" t="e">
        <f t="shared" ca="1" si="93"/>
        <v>#NAME?</v>
      </c>
      <c r="AQ49" s="61" t="e">
        <f t="shared" ca="1" si="94"/>
        <v>#NAME?</v>
      </c>
    </row>
    <row r="50" spans="1:43" ht="12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</row>
    <row r="51" spans="1:43" ht="12" hidden="1" customHeight="1">
      <c r="A51" s="7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</row>
    <row r="52" spans="1:43" ht="12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</row>
    <row r="53" spans="1:43" ht="12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</row>
    <row r="54" spans="1:43" ht="12" customHeight="1">
      <c r="A54" s="5"/>
      <c r="B54" s="5"/>
      <c r="C54" s="5"/>
      <c r="D54" s="5"/>
      <c r="E54" s="5"/>
      <c r="F54" s="5"/>
      <c r="G54" s="5"/>
      <c r="H54" s="5"/>
      <c r="I54" s="5">
        <f t="shared" ref="I54:I74" si="135">I7</f>
        <v>18000</v>
      </c>
      <c r="J54" s="5"/>
      <c r="K54" s="5"/>
      <c r="L54" s="5"/>
      <c r="M54" s="5"/>
      <c r="N54" s="5"/>
      <c r="O54" s="5"/>
      <c r="P54" s="5"/>
      <c r="Q54" s="5"/>
      <c r="R54" s="5"/>
      <c r="S54" s="45"/>
      <c r="T54" s="5"/>
      <c r="U54" s="45">
        <v>8.8608712308914706E-2</v>
      </c>
      <c r="V54" s="63" t="e">
        <f t="shared" ref="V54:V74" ca="1" si="136">IF(ISBLANK($N$2),LN($I$4/I54)+(($M$2 + (0.5*(U54^2)))*$P$2),LN($I$4/I54)+(($M$2 -$N$2+ (0.5*(U54^2)))*$P$2))/(U54*$P$2^0.5)</f>
        <v>#NAME?</v>
      </c>
      <c r="W54" s="63" t="e">
        <f t="shared" ref="W54:W74" ca="1" si="137">V54-U54*$P$2^0.5</f>
        <v>#NAME?</v>
      </c>
      <c r="X54" s="63" t="e">
        <f t="shared" ref="X54:Y54" ca="1" si="138">NORMSDIST(V54)</f>
        <v>#NAME?</v>
      </c>
      <c r="Y54" s="63" t="e">
        <f t="shared" ca="1" si="138"/>
        <v>#NAME?</v>
      </c>
      <c r="Z54" s="63" t="e">
        <f t="shared" ref="Z54:Z74" ca="1" si="139">1/(2*PI())^0.5*(EXP(-(V54^2)/2))</f>
        <v>#NAME?</v>
      </c>
      <c r="AA54" s="63" t="e">
        <f t="shared" ref="AA54:AA74" ca="1" si="140">IF(ISBLANK($N$2),$I$4*X54-($I54*EXP(-$M$2*$P$2))*X54, EXP(-$N$2* $P$2) * ($I$4 * X54) - ($I54 * EXP(-$M$2 * $P$2) *Y54))</f>
        <v>#NAME?</v>
      </c>
      <c r="AB54" s="63" t="e">
        <f t="shared" ref="AB54:AB74" ca="1" si="141">X54*EXP(-$N$2 * $P$2)</f>
        <v>#NAME?</v>
      </c>
      <c r="AC54" s="63" t="e">
        <f t="shared" ref="AC54:AC74" ca="1" si="142">(Z54 * EXP(-$N$2 * $P$2)) / ($I$4 * U54 * ($P$2^ (1 / 2)))</f>
        <v>#NAME?</v>
      </c>
      <c r="AD54" s="63" t="e">
        <f t="shared" ref="AD54:AD74" ca="1" si="143">-($I$4 *Z54 * U54 * EXP(-$N$2 * $P$2)) / (2 * ($P$2 ^ (1 / 2))) + ($N$2 * $I$4* X54 * EXP(-$N$2 * $P$2)) - ($M$2 * $I54 * EXP(-$M$2 * $P$2) * Y54)</f>
        <v>#NAME?</v>
      </c>
      <c r="AE54" s="63" t="e">
        <f t="shared" ref="AE54:AE74" ca="1" si="144">$I$4 * ($P$2 ^ (1 / 2)) * Z54 * EXP(-$N$2 * $P$2)</f>
        <v>#NAME?</v>
      </c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</row>
    <row r="55" spans="1:43" ht="12" customHeight="1">
      <c r="A55" s="5"/>
      <c r="B55" s="5"/>
      <c r="C55" s="5"/>
      <c r="D55" s="5"/>
      <c r="E55" s="5"/>
      <c r="F55" s="5"/>
      <c r="G55" s="5"/>
      <c r="H55" s="5"/>
      <c r="I55" s="5">
        <f t="shared" si="135"/>
        <v>18050</v>
      </c>
      <c r="J55" s="5"/>
      <c r="K55" s="5"/>
      <c r="L55" s="5"/>
      <c r="M55" s="5"/>
      <c r="N55" s="5"/>
      <c r="O55" s="5"/>
      <c r="P55" s="5"/>
      <c r="Q55" s="5"/>
      <c r="R55" s="5"/>
      <c r="S55" s="45"/>
      <c r="T55" s="5"/>
      <c r="U55" s="45">
        <v>7.8570872924382362E-2</v>
      </c>
      <c r="V55" s="63" t="e">
        <f t="shared" ca="1" si="136"/>
        <v>#NAME?</v>
      </c>
      <c r="W55" s="63" t="e">
        <f t="shared" ca="1" si="137"/>
        <v>#NAME?</v>
      </c>
      <c r="X55" s="63" t="e">
        <f t="shared" ref="X55:Y55" ca="1" si="145">NORMSDIST(V55)</f>
        <v>#NAME?</v>
      </c>
      <c r="Y55" s="63" t="e">
        <f t="shared" ca="1" si="145"/>
        <v>#NAME?</v>
      </c>
      <c r="Z55" s="63" t="e">
        <f t="shared" ca="1" si="139"/>
        <v>#NAME?</v>
      </c>
      <c r="AA55" s="63" t="e">
        <f t="shared" ca="1" si="140"/>
        <v>#NAME?</v>
      </c>
      <c r="AB55" s="63" t="e">
        <f t="shared" ca="1" si="141"/>
        <v>#NAME?</v>
      </c>
      <c r="AC55" s="63" t="e">
        <f t="shared" ca="1" si="142"/>
        <v>#NAME?</v>
      </c>
      <c r="AD55" s="63" t="e">
        <f t="shared" ca="1" si="143"/>
        <v>#NAME?</v>
      </c>
      <c r="AE55" s="63" t="e">
        <f t="shared" ca="1" si="144"/>
        <v>#NAME?</v>
      </c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</row>
    <row r="56" spans="1:43" ht="12" customHeight="1">
      <c r="A56" s="5"/>
      <c r="B56" s="5"/>
      <c r="C56" s="5"/>
      <c r="D56" s="5"/>
      <c r="E56" s="5"/>
      <c r="F56" s="5"/>
      <c r="G56" s="5"/>
      <c r="H56" s="5"/>
      <c r="I56" s="5">
        <f t="shared" si="135"/>
        <v>18100</v>
      </c>
      <c r="J56" s="5"/>
      <c r="K56" s="5"/>
      <c r="L56" s="5"/>
      <c r="M56" s="5"/>
      <c r="N56" s="5"/>
      <c r="O56" s="5"/>
      <c r="P56" s="5"/>
      <c r="Q56" s="5"/>
      <c r="R56" s="5"/>
      <c r="S56" s="45"/>
      <c r="T56" s="5"/>
      <c r="U56" s="45">
        <v>7.6040356779545903E-2</v>
      </c>
      <c r="V56" s="63" t="e">
        <f t="shared" ca="1" si="136"/>
        <v>#NAME?</v>
      </c>
      <c r="W56" s="63" t="e">
        <f t="shared" ca="1" si="137"/>
        <v>#NAME?</v>
      </c>
      <c r="X56" s="63" t="e">
        <f t="shared" ref="X56:Y56" ca="1" si="146">NORMSDIST(V56)</f>
        <v>#NAME?</v>
      </c>
      <c r="Y56" s="63" t="e">
        <f t="shared" ca="1" si="146"/>
        <v>#NAME?</v>
      </c>
      <c r="Z56" s="63" t="e">
        <f t="shared" ca="1" si="139"/>
        <v>#NAME?</v>
      </c>
      <c r="AA56" s="63" t="e">
        <f t="shared" ca="1" si="140"/>
        <v>#NAME?</v>
      </c>
      <c r="AB56" s="63" t="e">
        <f t="shared" ca="1" si="141"/>
        <v>#NAME?</v>
      </c>
      <c r="AC56" s="63" t="e">
        <f t="shared" ca="1" si="142"/>
        <v>#NAME?</v>
      </c>
      <c r="AD56" s="63" t="e">
        <f t="shared" ca="1" si="143"/>
        <v>#NAME?</v>
      </c>
      <c r="AE56" s="63" t="e">
        <f t="shared" ca="1" si="144"/>
        <v>#NAME?</v>
      </c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2" customHeight="1">
      <c r="A57" s="5"/>
      <c r="B57" s="5"/>
      <c r="C57" s="5"/>
      <c r="D57" s="5"/>
      <c r="E57" s="5"/>
      <c r="F57" s="5"/>
      <c r="G57" s="5"/>
      <c r="H57" s="5"/>
      <c r="I57" s="5">
        <f t="shared" si="135"/>
        <v>18150</v>
      </c>
      <c r="J57" s="5"/>
      <c r="K57" s="5"/>
      <c r="L57" s="5"/>
      <c r="M57" s="5"/>
      <c r="N57" s="5"/>
      <c r="O57" s="5"/>
      <c r="P57" s="5"/>
      <c r="Q57" s="5"/>
      <c r="R57" s="5"/>
      <c r="S57" s="45"/>
      <c r="T57" s="5"/>
      <c r="U57" s="45">
        <v>6.4119794744302738E-2</v>
      </c>
      <c r="V57" s="63" t="e">
        <f t="shared" ca="1" si="136"/>
        <v>#NAME?</v>
      </c>
      <c r="W57" s="63" t="e">
        <f t="shared" ca="1" si="137"/>
        <v>#NAME?</v>
      </c>
      <c r="X57" s="63" t="e">
        <f t="shared" ref="X57:Y57" ca="1" si="147">NORMSDIST(V57)</f>
        <v>#NAME?</v>
      </c>
      <c r="Y57" s="63" t="e">
        <f t="shared" ca="1" si="147"/>
        <v>#NAME?</v>
      </c>
      <c r="Z57" s="63" t="e">
        <f t="shared" ca="1" si="139"/>
        <v>#NAME?</v>
      </c>
      <c r="AA57" s="63" t="e">
        <f t="shared" ca="1" si="140"/>
        <v>#NAME?</v>
      </c>
      <c r="AB57" s="63" t="e">
        <f t="shared" ca="1" si="141"/>
        <v>#NAME?</v>
      </c>
      <c r="AC57" s="63" t="e">
        <f t="shared" ca="1" si="142"/>
        <v>#NAME?</v>
      </c>
      <c r="AD57" s="63" t="e">
        <f t="shared" ca="1" si="143"/>
        <v>#NAME?</v>
      </c>
      <c r="AE57" s="63" t="e">
        <f t="shared" ca="1" si="144"/>
        <v>#NAME?</v>
      </c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</row>
    <row r="58" spans="1:43" ht="12" customHeight="1">
      <c r="A58" s="5"/>
      <c r="B58" s="5"/>
      <c r="C58" s="5"/>
      <c r="D58" s="5"/>
      <c r="E58" s="5"/>
      <c r="F58" s="5"/>
      <c r="G58" s="5"/>
      <c r="H58" s="5"/>
      <c r="I58" s="5">
        <f t="shared" si="135"/>
        <v>18200</v>
      </c>
      <c r="J58" s="5"/>
      <c r="K58" s="5"/>
      <c r="L58" s="5"/>
      <c r="M58" s="5"/>
      <c r="N58" s="5"/>
      <c r="O58" s="5"/>
      <c r="P58" s="5"/>
      <c r="Q58" s="5"/>
      <c r="R58" s="5"/>
      <c r="S58" s="45"/>
      <c r="T58" s="5"/>
      <c r="U58" s="45">
        <v>6.1412232313922399E-2</v>
      </c>
      <c r="V58" s="63" t="e">
        <f t="shared" ca="1" si="136"/>
        <v>#NAME?</v>
      </c>
      <c r="W58" s="63" t="e">
        <f t="shared" ca="1" si="137"/>
        <v>#NAME?</v>
      </c>
      <c r="X58" s="63" t="e">
        <f t="shared" ref="X58:Y58" ca="1" si="148">NORMSDIST(V58)</f>
        <v>#NAME?</v>
      </c>
      <c r="Y58" s="63" t="e">
        <f t="shared" ca="1" si="148"/>
        <v>#NAME?</v>
      </c>
      <c r="Z58" s="63" t="e">
        <f t="shared" ca="1" si="139"/>
        <v>#NAME?</v>
      </c>
      <c r="AA58" s="63" t="e">
        <f t="shared" ca="1" si="140"/>
        <v>#NAME?</v>
      </c>
      <c r="AB58" s="63" t="e">
        <f t="shared" ca="1" si="141"/>
        <v>#NAME?</v>
      </c>
      <c r="AC58" s="63" t="e">
        <f t="shared" ca="1" si="142"/>
        <v>#NAME?</v>
      </c>
      <c r="AD58" s="63" t="e">
        <f t="shared" ca="1" si="143"/>
        <v>#NAME?</v>
      </c>
      <c r="AE58" s="63" t="e">
        <f t="shared" ca="1" si="144"/>
        <v>#NAME?</v>
      </c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</row>
    <row r="59" spans="1:43" ht="12" customHeight="1">
      <c r="A59" s="5"/>
      <c r="B59" s="5"/>
      <c r="C59" s="5"/>
      <c r="D59" s="5"/>
      <c r="E59" s="5"/>
      <c r="F59" s="5"/>
      <c r="G59" s="5"/>
      <c r="H59" s="5"/>
      <c r="I59" s="5">
        <f t="shared" si="135"/>
        <v>18250</v>
      </c>
      <c r="J59" s="5"/>
      <c r="K59" s="5"/>
      <c r="L59" s="5"/>
      <c r="M59" s="5"/>
      <c r="N59" s="5"/>
      <c r="O59" s="5"/>
      <c r="P59" s="5"/>
      <c r="Q59" s="5"/>
      <c r="R59" s="5"/>
      <c r="S59" s="45"/>
      <c r="T59" s="5"/>
      <c r="U59" s="45">
        <v>5.1919996846791439E-2</v>
      </c>
      <c r="V59" s="63" t="e">
        <f t="shared" ca="1" si="136"/>
        <v>#NAME?</v>
      </c>
      <c r="W59" s="63" t="e">
        <f t="shared" ca="1" si="137"/>
        <v>#NAME?</v>
      </c>
      <c r="X59" s="63" t="e">
        <f t="shared" ref="X59:Y59" ca="1" si="149">NORMSDIST(V59)</f>
        <v>#NAME?</v>
      </c>
      <c r="Y59" s="63" t="e">
        <f t="shared" ca="1" si="149"/>
        <v>#NAME?</v>
      </c>
      <c r="Z59" s="63" t="e">
        <f t="shared" ca="1" si="139"/>
        <v>#NAME?</v>
      </c>
      <c r="AA59" s="63" t="e">
        <f t="shared" ca="1" si="140"/>
        <v>#NAME?</v>
      </c>
      <c r="AB59" s="63" t="e">
        <f t="shared" ca="1" si="141"/>
        <v>#NAME?</v>
      </c>
      <c r="AC59" s="63" t="e">
        <f t="shared" ca="1" si="142"/>
        <v>#NAME?</v>
      </c>
      <c r="AD59" s="63" t="e">
        <f t="shared" ca="1" si="143"/>
        <v>#NAME?</v>
      </c>
      <c r="AE59" s="63" t="e">
        <f t="shared" ca="1" si="144"/>
        <v>#NAME?</v>
      </c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</row>
    <row r="60" spans="1:43" ht="12" customHeight="1">
      <c r="A60" s="5"/>
      <c r="B60" s="5"/>
      <c r="C60" s="5"/>
      <c r="D60" s="5"/>
      <c r="E60" s="5"/>
      <c r="F60" s="5"/>
      <c r="G60" s="5"/>
      <c r="H60" s="5"/>
      <c r="I60" s="5">
        <f t="shared" si="135"/>
        <v>18300</v>
      </c>
      <c r="J60" s="5"/>
      <c r="K60" s="5"/>
      <c r="L60" s="5"/>
      <c r="M60" s="5"/>
      <c r="N60" s="5"/>
      <c r="O60" s="5"/>
      <c r="P60" s="5"/>
      <c r="Q60" s="5"/>
      <c r="R60" s="5"/>
      <c r="S60" s="45"/>
      <c r="T60" s="5"/>
      <c r="U60" s="45">
        <v>4.2159475853395134E-2</v>
      </c>
      <c r="V60" s="63" t="e">
        <f t="shared" ca="1" si="136"/>
        <v>#NAME?</v>
      </c>
      <c r="W60" s="63" t="e">
        <f t="shared" ca="1" si="137"/>
        <v>#NAME?</v>
      </c>
      <c r="X60" s="63" t="e">
        <f t="shared" ref="X60:Y60" ca="1" si="150">NORMSDIST(V60)</f>
        <v>#NAME?</v>
      </c>
      <c r="Y60" s="63" t="e">
        <f t="shared" ca="1" si="150"/>
        <v>#NAME?</v>
      </c>
      <c r="Z60" s="63" t="e">
        <f t="shared" ca="1" si="139"/>
        <v>#NAME?</v>
      </c>
      <c r="AA60" s="63" t="e">
        <f t="shared" ca="1" si="140"/>
        <v>#NAME?</v>
      </c>
      <c r="AB60" s="63" t="e">
        <f t="shared" ca="1" si="141"/>
        <v>#NAME?</v>
      </c>
      <c r="AC60" s="63" t="e">
        <f t="shared" ca="1" si="142"/>
        <v>#NAME?</v>
      </c>
      <c r="AD60" s="63" t="e">
        <f t="shared" ca="1" si="143"/>
        <v>#NAME?</v>
      </c>
      <c r="AE60" s="63" t="e">
        <f t="shared" ca="1" si="144"/>
        <v>#NAME?</v>
      </c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</row>
    <row r="61" spans="1:43" ht="12" customHeight="1">
      <c r="A61" s="5"/>
      <c r="B61" s="5"/>
      <c r="C61" s="5"/>
      <c r="D61" s="5"/>
      <c r="E61" s="5"/>
      <c r="F61" s="5"/>
      <c r="G61" s="5"/>
      <c r="H61" s="5"/>
      <c r="I61" s="5">
        <f t="shared" si="135"/>
        <v>18350</v>
      </c>
      <c r="J61" s="5"/>
      <c r="K61" s="5"/>
      <c r="L61" s="5"/>
      <c r="M61" s="5"/>
      <c r="N61" s="5"/>
      <c r="O61" s="5"/>
      <c r="P61" s="5"/>
      <c r="Q61" s="5"/>
      <c r="R61" s="5"/>
      <c r="S61" s="45"/>
      <c r="T61" s="5"/>
      <c r="U61" s="45">
        <v>3.8148049891265801E-2</v>
      </c>
      <c r="V61" s="63" t="e">
        <f t="shared" ca="1" si="136"/>
        <v>#NAME?</v>
      </c>
      <c r="W61" s="63" t="e">
        <f t="shared" ca="1" si="137"/>
        <v>#NAME?</v>
      </c>
      <c r="X61" s="63" t="e">
        <f t="shared" ref="X61:Y61" ca="1" si="151">NORMSDIST(V61)</f>
        <v>#NAME?</v>
      </c>
      <c r="Y61" s="63" t="e">
        <f t="shared" ca="1" si="151"/>
        <v>#NAME?</v>
      </c>
      <c r="Z61" s="63" t="e">
        <f t="shared" ca="1" si="139"/>
        <v>#NAME?</v>
      </c>
      <c r="AA61" s="63" t="e">
        <f t="shared" ca="1" si="140"/>
        <v>#NAME?</v>
      </c>
      <c r="AB61" s="63" t="e">
        <f t="shared" ca="1" si="141"/>
        <v>#NAME?</v>
      </c>
      <c r="AC61" s="63" t="e">
        <f t="shared" ca="1" si="142"/>
        <v>#NAME?</v>
      </c>
      <c r="AD61" s="63" t="e">
        <f t="shared" ca="1" si="143"/>
        <v>#NAME?</v>
      </c>
      <c r="AE61" s="63" t="e">
        <f t="shared" ca="1" si="144"/>
        <v>#NAME?</v>
      </c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</row>
    <row r="62" spans="1:43" ht="12" customHeight="1">
      <c r="A62" s="5"/>
      <c r="B62" s="5"/>
      <c r="C62" s="5"/>
      <c r="D62" s="5"/>
      <c r="E62" s="5"/>
      <c r="F62" s="5"/>
      <c r="G62" s="5"/>
      <c r="H62" s="5"/>
      <c r="I62" s="5">
        <f t="shared" si="135"/>
        <v>18400</v>
      </c>
      <c r="J62" s="5"/>
      <c r="K62" s="5"/>
      <c r="L62" s="5"/>
      <c r="M62" s="5"/>
      <c r="N62" s="5"/>
      <c r="O62" s="5"/>
      <c r="P62" s="5"/>
      <c r="Q62" s="5"/>
      <c r="R62" s="5"/>
      <c r="S62" s="45"/>
      <c r="T62" s="5"/>
      <c r="U62" s="45">
        <v>2.8500999124433046E-2</v>
      </c>
      <c r="V62" s="63" t="e">
        <f t="shared" ca="1" si="136"/>
        <v>#NAME?</v>
      </c>
      <c r="W62" s="63" t="e">
        <f t="shared" ca="1" si="137"/>
        <v>#NAME?</v>
      </c>
      <c r="X62" s="63" t="e">
        <f t="shared" ref="X62:Y62" ca="1" si="152">NORMSDIST(V62)</f>
        <v>#NAME?</v>
      </c>
      <c r="Y62" s="63" t="e">
        <f t="shared" ca="1" si="152"/>
        <v>#NAME?</v>
      </c>
      <c r="Z62" s="63" t="e">
        <f t="shared" ca="1" si="139"/>
        <v>#NAME?</v>
      </c>
      <c r="AA62" s="63" t="e">
        <f t="shared" ca="1" si="140"/>
        <v>#NAME?</v>
      </c>
      <c r="AB62" s="63" t="e">
        <f t="shared" ca="1" si="141"/>
        <v>#NAME?</v>
      </c>
      <c r="AC62" s="63" t="e">
        <f t="shared" ca="1" si="142"/>
        <v>#NAME?</v>
      </c>
      <c r="AD62" s="63" t="e">
        <f t="shared" ca="1" si="143"/>
        <v>#NAME?</v>
      </c>
      <c r="AE62" s="63" t="e">
        <f t="shared" ca="1" si="144"/>
        <v>#NAME?</v>
      </c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</row>
    <row r="63" spans="1:43" ht="12" customHeight="1">
      <c r="A63" s="5"/>
      <c r="B63" s="5"/>
      <c r="C63" s="5"/>
      <c r="D63" s="5"/>
      <c r="E63" s="5"/>
      <c r="F63" s="5"/>
      <c r="G63" s="5"/>
      <c r="H63" s="5"/>
      <c r="I63" s="5">
        <f t="shared" si="135"/>
        <v>18450</v>
      </c>
      <c r="J63" s="5"/>
      <c r="K63" s="5"/>
      <c r="L63" s="5"/>
      <c r="M63" s="5"/>
      <c r="N63" s="5"/>
      <c r="O63" s="5"/>
      <c r="P63" s="5"/>
      <c r="Q63" s="5"/>
      <c r="R63" s="5"/>
      <c r="S63" s="45"/>
      <c r="T63" s="5"/>
      <c r="U63" s="45">
        <v>2.6682937194394574E-2</v>
      </c>
      <c r="V63" s="63" t="e">
        <f t="shared" ca="1" si="136"/>
        <v>#NAME?</v>
      </c>
      <c r="W63" s="63" t="e">
        <f t="shared" ca="1" si="137"/>
        <v>#NAME?</v>
      </c>
      <c r="X63" s="63" t="e">
        <f t="shared" ref="X63:Y63" ca="1" si="153">NORMSDIST(V63)</f>
        <v>#NAME?</v>
      </c>
      <c r="Y63" s="63" t="e">
        <f t="shared" ca="1" si="153"/>
        <v>#NAME?</v>
      </c>
      <c r="Z63" s="63" t="e">
        <f t="shared" ca="1" si="139"/>
        <v>#NAME?</v>
      </c>
      <c r="AA63" s="63" t="e">
        <f t="shared" ca="1" si="140"/>
        <v>#NAME?</v>
      </c>
      <c r="AB63" s="63" t="e">
        <f t="shared" ca="1" si="141"/>
        <v>#NAME?</v>
      </c>
      <c r="AC63" s="63" t="e">
        <f t="shared" ca="1" si="142"/>
        <v>#NAME?</v>
      </c>
      <c r="AD63" s="63" t="e">
        <f t="shared" ca="1" si="143"/>
        <v>#NAME?</v>
      </c>
      <c r="AE63" s="63" t="e">
        <f t="shared" ca="1" si="144"/>
        <v>#NAME?</v>
      </c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</row>
    <row r="64" spans="1:43" ht="12" customHeight="1">
      <c r="A64" s="5"/>
      <c r="B64" s="5"/>
      <c r="C64" s="5"/>
      <c r="D64" s="5"/>
      <c r="E64" s="5"/>
      <c r="F64" s="5"/>
      <c r="G64" s="5"/>
      <c r="H64" s="5"/>
      <c r="I64" s="5">
        <f t="shared" si="135"/>
        <v>18500</v>
      </c>
      <c r="J64" s="5"/>
      <c r="K64" s="5"/>
      <c r="L64" s="5"/>
      <c r="M64" s="5"/>
      <c r="N64" s="5"/>
      <c r="O64" s="5"/>
      <c r="P64" s="5"/>
      <c r="Q64" s="5"/>
      <c r="R64" s="5"/>
      <c r="S64" s="45"/>
      <c r="T64" s="5"/>
      <c r="U64" s="45">
        <v>2.4110516586923425E-2</v>
      </c>
      <c r="V64" s="63" t="e">
        <f t="shared" ca="1" si="136"/>
        <v>#NAME?</v>
      </c>
      <c r="W64" s="63" t="e">
        <f t="shared" ca="1" si="137"/>
        <v>#NAME?</v>
      </c>
      <c r="X64" s="63" t="e">
        <f t="shared" ref="X64:Y64" ca="1" si="154">NORMSDIST(V64)</f>
        <v>#NAME?</v>
      </c>
      <c r="Y64" s="63" t="e">
        <f t="shared" ca="1" si="154"/>
        <v>#NAME?</v>
      </c>
      <c r="Z64" s="63" t="e">
        <f t="shared" ca="1" si="139"/>
        <v>#NAME?</v>
      </c>
      <c r="AA64" s="63" t="e">
        <f t="shared" ca="1" si="140"/>
        <v>#NAME?</v>
      </c>
      <c r="AB64" s="63" t="e">
        <f t="shared" ca="1" si="141"/>
        <v>#NAME?</v>
      </c>
      <c r="AC64" s="63" t="e">
        <f t="shared" ca="1" si="142"/>
        <v>#NAME?</v>
      </c>
      <c r="AD64" s="63" t="e">
        <f t="shared" ca="1" si="143"/>
        <v>#NAME?</v>
      </c>
      <c r="AE64" s="63" t="e">
        <f t="shared" ca="1" si="144"/>
        <v>#NAME?</v>
      </c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</row>
    <row r="65" spans="1:43" ht="12" customHeight="1">
      <c r="A65" s="5"/>
      <c r="B65" s="5"/>
      <c r="C65" s="5"/>
      <c r="D65" s="5"/>
      <c r="E65" s="5"/>
      <c r="F65" s="5"/>
      <c r="G65" s="5"/>
      <c r="H65" s="5"/>
      <c r="I65" s="5">
        <f t="shared" si="135"/>
        <v>18550</v>
      </c>
      <c r="J65" s="5"/>
      <c r="K65" s="5"/>
      <c r="L65" s="5"/>
      <c r="M65" s="5"/>
      <c r="N65" s="5"/>
      <c r="O65" s="5"/>
      <c r="P65" s="5"/>
      <c r="Q65" s="5"/>
      <c r="R65" s="5"/>
      <c r="S65" s="45"/>
      <c r="T65" s="5"/>
      <c r="U65" s="45">
        <v>2.7353756398040441E-2</v>
      </c>
      <c r="V65" s="63" t="e">
        <f t="shared" ca="1" si="136"/>
        <v>#NAME?</v>
      </c>
      <c r="W65" s="63" t="e">
        <f t="shared" ca="1" si="137"/>
        <v>#NAME?</v>
      </c>
      <c r="X65" s="63" t="e">
        <f t="shared" ref="X65:Y65" ca="1" si="155">NORMSDIST(V65)</f>
        <v>#NAME?</v>
      </c>
      <c r="Y65" s="63" t="e">
        <f t="shared" ca="1" si="155"/>
        <v>#NAME?</v>
      </c>
      <c r="Z65" s="63" t="e">
        <f t="shared" ca="1" si="139"/>
        <v>#NAME?</v>
      </c>
      <c r="AA65" s="63" t="e">
        <f t="shared" ca="1" si="140"/>
        <v>#NAME?</v>
      </c>
      <c r="AB65" s="63" t="e">
        <f t="shared" ca="1" si="141"/>
        <v>#NAME?</v>
      </c>
      <c r="AC65" s="63" t="e">
        <f t="shared" ca="1" si="142"/>
        <v>#NAME?</v>
      </c>
      <c r="AD65" s="63" t="e">
        <f t="shared" ca="1" si="143"/>
        <v>#NAME?</v>
      </c>
      <c r="AE65" s="63" t="e">
        <f t="shared" ca="1" si="144"/>
        <v>#NAME?</v>
      </c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</row>
    <row r="66" spans="1:43" ht="12" customHeight="1">
      <c r="A66" s="5"/>
      <c r="B66" s="5"/>
      <c r="C66" s="5"/>
      <c r="D66" s="5"/>
      <c r="E66" s="5"/>
      <c r="F66" s="5"/>
      <c r="G66" s="5"/>
      <c r="H66" s="5"/>
      <c r="I66" s="5">
        <f t="shared" si="135"/>
        <v>18600</v>
      </c>
      <c r="J66" s="5"/>
      <c r="K66" s="5"/>
      <c r="L66" s="5"/>
      <c r="M66" s="5"/>
      <c r="N66" s="5"/>
      <c r="O66" s="5"/>
      <c r="P66" s="5"/>
      <c r="Q66" s="5"/>
      <c r="R66" s="5"/>
      <c r="S66" s="45"/>
      <c r="T66" s="5"/>
      <c r="U66" s="45">
        <v>3.3315699193450565E-2</v>
      </c>
      <c r="V66" s="63" t="e">
        <f t="shared" ca="1" si="136"/>
        <v>#NAME?</v>
      </c>
      <c r="W66" s="63" t="e">
        <f t="shared" ca="1" si="137"/>
        <v>#NAME?</v>
      </c>
      <c r="X66" s="63" t="e">
        <f t="shared" ref="X66:Y66" ca="1" si="156">NORMSDIST(V66)</f>
        <v>#NAME?</v>
      </c>
      <c r="Y66" s="63" t="e">
        <f t="shared" ca="1" si="156"/>
        <v>#NAME?</v>
      </c>
      <c r="Z66" s="63" t="e">
        <f t="shared" ca="1" si="139"/>
        <v>#NAME?</v>
      </c>
      <c r="AA66" s="63" t="e">
        <f t="shared" ca="1" si="140"/>
        <v>#NAME?</v>
      </c>
      <c r="AB66" s="63" t="e">
        <f t="shared" ca="1" si="141"/>
        <v>#NAME?</v>
      </c>
      <c r="AC66" s="63" t="e">
        <f t="shared" ca="1" si="142"/>
        <v>#NAME?</v>
      </c>
      <c r="AD66" s="63" t="e">
        <f t="shared" ca="1" si="143"/>
        <v>#NAME?</v>
      </c>
      <c r="AE66" s="63" t="e">
        <f t="shared" ca="1" si="144"/>
        <v>#NAME?</v>
      </c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</row>
    <row r="67" spans="1:43" ht="12" customHeight="1">
      <c r="A67" s="5"/>
      <c r="B67" s="5"/>
      <c r="C67" s="5"/>
      <c r="D67" s="5"/>
      <c r="E67" s="5"/>
      <c r="F67" s="5"/>
      <c r="G67" s="5"/>
      <c r="H67" s="5"/>
      <c r="I67" s="5">
        <f t="shared" si="135"/>
        <v>18650</v>
      </c>
      <c r="J67" s="5"/>
      <c r="K67" s="5"/>
      <c r="L67" s="5"/>
      <c r="M67" s="5"/>
      <c r="N67" s="5"/>
      <c r="O67" s="5"/>
      <c r="P67" s="5"/>
      <c r="Q67" s="5"/>
      <c r="R67" s="5"/>
      <c r="S67" s="45"/>
      <c r="T67" s="5"/>
      <c r="U67" s="45">
        <v>4.306380793918424E-2</v>
      </c>
      <c r="V67" s="63" t="e">
        <f t="shared" ca="1" si="136"/>
        <v>#NAME?</v>
      </c>
      <c r="W67" s="63" t="e">
        <f t="shared" ca="1" si="137"/>
        <v>#NAME?</v>
      </c>
      <c r="X67" s="63" t="e">
        <f t="shared" ref="X67:Y67" ca="1" si="157">NORMSDIST(V67)</f>
        <v>#NAME?</v>
      </c>
      <c r="Y67" s="63" t="e">
        <f t="shared" ca="1" si="157"/>
        <v>#NAME?</v>
      </c>
      <c r="Z67" s="63" t="e">
        <f t="shared" ca="1" si="139"/>
        <v>#NAME?</v>
      </c>
      <c r="AA67" s="63" t="e">
        <f t="shared" ca="1" si="140"/>
        <v>#NAME?</v>
      </c>
      <c r="AB67" s="63" t="e">
        <f t="shared" ca="1" si="141"/>
        <v>#NAME?</v>
      </c>
      <c r="AC67" s="63" t="e">
        <f t="shared" ca="1" si="142"/>
        <v>#NAME?</v>
      </c>
      <c r="AD67" s="63" t="e">
        <f t="shared" ca="1" si="143"/>
        <v>#NAME?</v>
      </c>
      <c r="AE67" s="63" t="e">
        <f t="shared" ca="1" si="144"/>
        <v>#NAME?</v>
      </c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</row>
    <row r="68" spans="1:43" ht="12" customHeight="1">
      <c r="A68" s="5"/>
      <c r="B68" s="5"/>
      <c r="C68" s="5"/>
      <c r="D68" s="5"/>
      <c r="E68" s="5"/>
      <c r="F68" s="5"/>
      <c r="G68" s="5"/>
      <c r="H68" s="5"/>
      <c r="I68" s="5">
        <f t="shared" si="135"/>
        <v>18700</v>
      </c>
      <c r="J68" s="5"/>
      <c r="K68" s="5"/>
      <c r="L68" s="5"/>
      <c r="M68" s="5"/>
      <c r="N68" s="5"/>
      <c r="O68" s="5"/>
      <c r="P68" s="5"/>
      <c r="Q68" s="5"/>
      <c r="R68" s="5"/>
      <c r="S68" s="45"/>
      <c r="T68" s="5"/>
      <c r="U68" s="45">
        <v>5.7592397089024028E-2</v>
      </c>
      <c r="V68" s="63" t="e">
        <f t="shared" ca="1" si="136"/>
        <v>#NAME?</v>
      </c>
      <c r="W68" s="63" t="e">
        <f t="shared" ca="1" si="137"/>
        <v>#NAME?</v>
      </c>
      <c r="X68" s="63" t="e">
        <f t="shared" ref="X68:Y68" ca="1" si="158">NORMSDIST(V68)</f>
        <v>#NAME?</v>
      </c>
      <c r="Y68" s="63" t="e">
        <f t="shared" ca="1" si="158"/>
        <v>#NAME?</v>
      </c>
      <c r="Z68" s="63" t="e">
        <f t="shared" ca="1" si="139"/>
        <v>#NAME?</v>
      </c>
      <c r="AA68" s="63" t="e">
        <f t="shared" ca="1" si="140"/>
        <v>#NAME?</v>
      </c>
      <c r="AB68" s="63" t="e">
        <f t="shared" ca="1" si="141"/>
        <v>#NAME?</v>
      </c>
      <c r="AC68" s="63" t="e">
        <f t="shared" ca="1" si="142"/>
        <v>#NAME?</v>
      </c>
      <c r="AD68" s="63" t="e">
        <f t="shared" ca="1" si="143"/>
        <v>#NAME?</v>
      </c>
      <c r="AE68" s="63" t="e">
        <f t="shared" ca="1" si="144"/>
        <v>#NAME?</v>
      </c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</row>
    <row r="69" spans="1:43" ht="12" customHeight="1">
      <c r="A69" s="5"/>
      <c r="B69" s="5"/>
      <c r="C69" s="5"/>
      <c r="D69" s="5"/>
      <c r="E69" s="5"/>
      <c r="F69" s="5"/>
      <c r="G69" s="5"/>
      <c r="H69" s="5"/>
      <c r="I69" s="5">
        <f t="shared" si="135"/>
        <v>18750</v>
      </c>
      <c r="J69" s="5"/>
      <c r="K69" s="5"/>
      <c r="L69" s="5"/>
      <c r="M69" s="5"/>
      <c r="N69" s="5"/>
      <c r="O69" s="5"/>
      <c r="P69" s="5"/>
      <c r="Q69" s="5"/>
      <c r="R69" s="5"/>
      <c r="S69" s="45"/>
      <c r="T69" s="5"/>
      <c r="U69" s="45">
        <v>7.3373934947513764E-2</v>
      </c>
      <c r="V69" s="63" t="e">
        <f t="shared" ca="1" si="136"/>
        <v>#NAME?</v>
      </c>
      <c r="W69" s="63" t="e">
        <f t="shared" ca="1" si="137"/>
        <v>#NAME?</v>
      </c>
      <c r="X69" s="63" t="e">
        <f t="shared" ref="X69:Y69" ca="1" si="159">NORMSDIST(V69)</f>
        <v>#NAME?</v>
      </c>
      <c r="Y69" s="63" t="e">
        <f t="shared" ca="1" si="159"/>
        <v>#NAME?</v>
      </c>
      <c r="Z69" s="63" t="e">
        <f t="shared" ca="1" si="139"/>
        <v>#NAME?</v>
      </c>
      <c r="AA69" s="63" t="e">
        <f t="shared" ca="1" si="140"/>
        <v>#NAME?</v>
      </c>
      <c r="AB69" s="63" t="e">
        <f t="shared" ca="1" si="141"/>
        <v>#NAME?</v>
      </c>
      <c r="AC69" s="63" t="e">
        <f t="shared" ca="1" si="142"/>
        <v>#NAME?</v>
      </c>
      <c r="AD69" s="63" t="e">
        <f t="shared" ca="1" si="143"/>
        <v>#NAME?</v>
      </c>
      <c r="AE69" s="63" t="e">
        <f t="shared" ca="1" si="144"/>
        <v>#NAME?</v>
      </c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</row>
    <row r="70" spans="1:43" ht="12" customHeight="1">
      <c r="A70" s="5"/>
      <c r="B70" s="5"/>
      <c r="C70" s="5"/>
      <c r="D70" s="5"/>
      <c r="E70" s="5"/>
      <c r="F70" s="5"/>
      <c r="G70" s="5"/>
      <c r="H70" s="5"/>
      <c r="I70" s="5">
        <f t="shared" si="135"/>
        <v>18800</v>
      </c>
      <c r="J70" s="5"/>
      <c r="K70" s="5"/>
      <c r="L70" s="5"/>
      <c r="M70" s="5"/>
      <c r="N70" s="5"/>
      <c r="O70" s="5"/>
      <c r="P70" s="5"/>
      <c r="Q70" s="5"/>
      <c r="R70" s="5"/>
      <c r="S70" s="45"/>
      <c r="T70" s="5"/>
      <c r="U70" s="45">
        <v>9.1023015133487872E-2</v>
      </c>
      <c r="V70" s="63" t="e">
        <f t="shared" ca="1" si="136"/>
        <v>#NAME?</v>
      </c>
      <c r="W70" s="63" t="e">
        <f t="shared" ca="1" si="137"/>
        <v>#NAME?</v>
      </c>
      <c r="X70" s="63" t="e">
        <f t="shared" ref="X70:Y70" ca="1" si="160">NORMSDIST(V70)</f>
        <v>#NAME?</v>
      </c>
      <c r="Y70" s="63" t="e">
        <f t="shared" ca="1" si="160"/>
        <v>#NAME?</v>
      </c>
      <c r="Z70" s="63" t="e">
        <f t="shared" ca="1" si="139"/>
        <v>#NAME?</v>
      </c>
      <c r="AA70" s="63" t="e">
        <f t="shared" ca="1" si="140"/>
        <v>#NAME?</v>
      </c>
      <c r="AB70" s="63" t="e">
        <f t="shared" ca="1" si="141"/>
        <v>#NAME?</v>
      </c>
      <c r="AC70" s="63" t="e">
        <f t="shared" ca="1" si="142"/>
        <v>#NAME?</v>
      </c>
      <c r="AD70" s="63" t="e">
        <f t="shared" ca="1" si="143"/>
        <v>#NAME?</v>
      </c>
      <c r="AE70" s="63" t="e">
        <f t="shared" ca="1" si="144"/>
        <v>#NAME?</v>
      </c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</row>
    <row r="71" spans="1:43" ht="12" customHeight="1">
      <c r="A71" s="5"/>
      <c r="B71" s="5"/>
      <c r="C71" s="5"/>
      <c r="D71" s="5"/>
      <c r="E71" s="5"/>
      <c r="F71" s="5"/>
      <c r="G71" s="5"/>
      <c r="H71" s="5"/>
      <c r="I71" s="5">
        <f t="shared" si="135"/>
        <v>18850</v>
      </c>
      <c r="J71" s="5"/>
      <c r="K71" s="5"/>
      <c r="L71" s="5"/>
      <c r="M71" s="5"/>
      <c r="N71" s="5"/>
      <c r="O71" s="5"/>
      <c r="P71" s="5"/>
      <c r="Q71" s="5"/>
      <c r="R71" s="5"/>
      <c r="S71" s="45"/>
      <c r="T71" s="5"/>
      <c r="U71" s="45">
        <v>0.10962620209035873</v>
      </c>
      <c r="V71" s="63" t="e">
        <f t="shared" ca="1" si="136"/>
        <v>#NAME?</v>
      </c>
      <c r="W71" s="63" t="e">
        <f t="shared" ca="1" si="137"/>
        <v>#NAME?</v>
      </c>
      <c r="X71" s="63" t="e">
        <f t="shared" ref="X71:Y71" ca="1" si="161">NORMSDIST(V71)</f>
        <v>#NAME?</v>
      </c>
      <c r="Y71" s="63" t="e">
        <f t="shared" ca="1" si="161"/>
        <v>#NAME?</v>
      </c>
      <c r="Z71" s="63" t="e">
        <f t="shared" ca="1" si="139"/>
        <v>#NAME?</v>
      </c>
      <c r="AA71" s="63" t="e">
        <f t="shared" ca="1" si="140"/>
        <v>#NAME?</v>
      </c>
      <c r="AB71" s="63" t="e">
        <f t="shared" ca="1" si="141"/>
        <v>#NAME?</v>
      </c>
      <c r="AC71" s="63" t="e">
        <f t="shared" ca="1" si="142"/>
        <v>#NAME?</v>
      </c>
      <c r="AD71" s="63" t="e">
        <f t="shared" ca="1" si="143"/>
        <v>#NAME?</v>
      </c>
      <c r="AE71" s="63" t="e">
        <f t="shared" ca="1" si="144"/>
        <v>#NAME?</v>
      </c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</row>
    <row r="72" spans="1:43" ht="12" customHeight="1">
      <c r="A72" s="5"/>
      <c r="B72" s="5"/>
      <c r="C72" s="5"/>
      <c r="D72" s="5"/>
      <c r="E72" s="5"/>
      <c r="F72" s="5"/>
      <c r="G72" s="5"/>
      <c r="H72" s="5"/>
      <c r="I72" s="5">
        <f t="shared" si="135"/>
        <v>18900</v>
      </c>
      <c r="J72" s="5"/>
      <c r="K72" s="5"/>
      <c r="L72" s="5"/>
      <c r="M72" s="5"/>
      <c r="N72" s="5"/>
      <c r="O72" s="5"/>
      <c r="P72" s="5"/>
      <c r="Q72" s="5"/>
      <c r="R72" s="5"/>
      <c r="S72" s="45"/>
      <c r="T72" s="5"/>
      <c r="U72" s="45">
        <v>0.12881392725325791</v>
      </c>
      <c r="V72" s="63" t="e">
        <f t="shared" ca="1" si="136"/>
        <v>#NAME?</v>
      </c>
      <c r="W72" s="63" t="e">
        <f t="shared" ca="1" si="137"/>
        <v>#NAME?</v>
      </c>
      <c r="X72" s="63" t="e">
        <f t="shared" ref="X72:Y72" ca="1" si="162">NORMSDIST(V72)</f>
        <v>#NAME?</v>
      </c>
      <c r="Y72" s="63" t="e">
        <f t="shared" ca="1" si="162"/>
        <v>#NAME?</v>
      </c>
      <c r="Z72" s="63" t="e">
        <f t="shared" ca="1" si="139"/>
        <v>#NAME?</v>
      </c>
      <c r="AA72" s="63" t="e">
        <f t="shared" ca="1" si="140"/>
        <v>#NAME?</v>
      </c>
      <c r="AB72" s="63" t="e">
        <f t="shared" ca="1" si="141"/>
        <v>#NAME?</v>
      </c>
      <c r="AC72" s="63" t="e">
        <f t="shared" ca="1" si="142"/>
        <v>#NAME?</v>
      </c>
      <c r="AD72" s="63" t="e">
        <f t="shared" ca="1" si="143"/>
        <v>#NAME?</v>
      </c>
      <c r="AE72" s="63" t="e">
        <f t="shared" ca="1" si="144"/>
        <v>#NAME?</v>
      </c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</row>
    <row r="73" spans="1:43" ht="12" customHeight="1">
      <c r="A73" s="5"/>
      <c r="B73" s="5"/>
      <c r="C73" s="5"/>
      <c r="D73" s="5"/>
      <c r="E73" s="5"/>
      <c r="F73" s="5"/>
      <c r="G73" s="5"/>
      <c r="H73" s="5"/>
      <c r="I73" s="5">
        <f t="shared" si="135"/>
        <v>18950</v>
      </c>
      <c r="J73" s="5"/>
      <c r="K73" s="5"/>
      <c r="L73" s="5"/>
      <c r="M73" s="5"/>
      <c r="N73" s="5"/>
      <c r="O73" s="5"/>
      <c r="P73" s="5"/>
      <c r="Q73" s="5"/>
      <c r="R73" s="5"/>
      <c r="S73" s="45"/>
      <c r="T73" s="5"/>
      <c r="U73" s="45">
        <v>0.14723194543588508</v>
      </c>
      <c r="V73" s="63" t="e">
        <f t="shared" ca="1" si="136"/>
        <v>#NAME?</v>
      </c>
      <c r="W73" s="63" t="e">
        <f t="shared" ca="1" si="137"/>
        <v>#NAME?</v>
      </c>
      <c r="X73" s="63" t="e">
        <f t="shared" ref="X73:Y73" ca="1" si="163">NORMSDIST(V73)</f>
        <v>#NAME?</v>
      </c>
      <c r="Y73" s="63" t="e">
        <f t="shared" ca="1" si="163"/>
        <v>#NAME?</v>
      </c>
      <c r="Z73" s="63" t="e">
        <f t="shared" ca="1" si="139"/>
        <v>#NAME?</v>
      </c>
      <c r="AA73" s="63" t="e">
        <f t="shared" ca="1" si="140"/>
        <v>#NAME?</v>
      </c>
      <c r="AB73" s="63" t="e">
        <f t="shared" ca="1" si="141"/>
        <v>#NAME?</v>
      </c>
      <c r="AC73" s="63" t="e">
        <f t="shared" ca="1" si="142"/>
        <v>#NAME?</v>
      </c>
      <c r="AD73" s="63" t="e">
        <f t="shared" ca="1" si="143"/>
        <v>#NAME?</v>
      </c>
      <c r="AE73" s="63" t="e">
        <f t="shared" ca="1" si="144"/>
        <v>#NAME?</v>
      </c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</row>
    <row r="74" spans="1:43" ht="12" customHeight="1">
      <c r="A74" s="5"/>
      <c r="B74" s="5"/>
      <c r="C74" s="5"/>
      <c r="D74" s="5"/>
      <c r="E74" s="5"/>
      <c r="F74" s="5"/>
      <c r="G74" s="5"/>
      <c r="H74" s="5"/>
      <c r="I74" s="5">
        <f t="shared" si="135"/>
        <v>19000</v>
      </c>
      <c r="J74" s="5"/>
      <c r="K74" s="5"/>
      <c r="L74" s="5"/>
      <c r="M74" s="5"/>
      <c r="N74" s="5"/>
      <c r="O74" s="5"/>
      <c r="P74" s="5"/>
      <c r="Q74" s="5"/>
      <c r="R74" s="5"/>
      <c r="S74" s="45"/>
      <c r="T74" s="5"/>
      <c r="U74" s="45">
        <v>0.16520598126429692</v>
      </c>
      <c r="V74" s="63" t="e">
        <f t="shared" ca="1" si="136"/>
        <v>#NAME?</v>
      </c>
      <c r="W74" s="63" t="e">
        <f t="shared" ca="1" si="137"/>
        <v>#NAME?</v>
      </c>
      <c r="X74" s="63" t="e">
        <f t="shared" ref="X74:Y74" ca="1" si="164">NORMSDIST(V74)</f>
        <v>#NAME?</v>
      </c>
      <c r="Y74" s="63" t="e">
        <f t="shared" ca="1" si="164"/>
        <v>#NAME?</v>
      </c>
      <c r="Z74" s="63" t="e">
        <f t="shared" ca="1" si="139"/>
        <v>#NAME?</v>
      </c>
      <c r="AA74" s="63" t="e">
        <f t="shared" ca="1" si="140"/>
        <v>#NAME?</v>
      </c>
      <c r="AB74" s="63" t="e">
        <f t="shared" ca="1" si="141"/>
        <v>#NAME?</v>
      </c>
      <c r="AC74" s="63" t="e">
        <f t="shared" ca="1" si="142"/>
        <v>#NAME?</v>
      </c>
      <c r="AD74" s="63" t="e">
        <f t="shared" ca="1" si="143"/>
        <v>#NAME?</v>
      </c>
      <c r="AE74" s="63" t="e">
        <f t="shared" ca="1" si="144"/>
        <v>#NAME?</v>
      </c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</row>
    <row r="75" spans="1:43" ht="12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</row>
    <row r="76" spans="1:43" ht="12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</row>
    <row r="77" spans="1:43" ht="12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</row>
    <row r="78" spans="1:43" ht="12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</row>
    <row r="79" spans="1:43" ht="12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</row>
    <row r="80" spans="1:43" ht="12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</row>
    <row r="81" spans="1:43" ht="12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</row>
    <row r="82" spans="1:43" ht="12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</row>
    <row r="83" spans="1:43" ht="12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</row>
    <row r="84" spans="1:43" ht="12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</row>
    <row r="85" spans="1:43" ht="12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</row>
    <row r="86" spans="1:43" ht="12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</row>
    <row r="87" spans="1:43" ht="12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</row>
    <row r="88" spans="1:43" ht="12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</row>
    <row r="89" spans="1:43" ht="12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</row>
    <row r="90" spans="1:43" ht="12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</row>
    <row r="91" spans="1:43" ht="12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</row>
    <row r="92" spans="1:43" ht="12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</row>
    <row r="93" spans="1:43" ht="12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</row>
    <row r="94" spans="1:43" ht="12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</row>
    <row r="95" spans="1:43" ht="12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</row>
    <row r="96" spans="1:43" ht="12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</row>
    <row r="97" spans="1:43" ht="12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</row>
    <row r="98" spans="1:43" ht="12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</row>
    <row r="99" spans="1:43" ht="12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</row>
    <row r="100" spans="1:43" ht="12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</row>
    <row r="101" spans="1:43" ht="12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</row>
    <row r="102" spans="1:43" ht="12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</row>
    <row r="103" spans="1:43" ht="12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</row>
    <row r="104" spans="1:43" ht="12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</row>
    <row r="105" spans="1:43" ht="12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</row>
    <row r="106" spans="1:43" ht="12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</row>
    <row r="107" spans="1:43" ht="12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</row>
    <row r="108" spans="1:43" ht="12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</row>
    <row r="109" spans="1:43" ht="12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</row>
    <row r="110" spans="1:43" ht="12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</row>
    <row r="111" spans="1:43" ht="12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</row>
    <row r="112" spans="1:43" ht="12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</row>
    <row r="113" spans="1:43" ht="12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</row>
    <row r="114" spans="1:43" ht="12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</row>
    <row r="115" spans="1:43" ht="12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</row>
    <row r="116" spans="1:43" ht="12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</row>
    <row r="117" spans="1:43" ht="12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</row>
    <row r="118" spans="1:43" ht="12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</row>
    <row r="119" spans="1:43" ht="12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</row>
    <row r="120" spans="1:43" ht="12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</row>
    <row r="121" spans="1:43" ht="12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</row>
    <row r="122" spans="1:43" ht="12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</row>
    <row r="123" spans="1:43" ht="12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</row>
    <row r="124" spans="1:43" ht="12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</row>
    <row r="125" spans="1:43" ht="12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</row>
    <row r="126" spans="1:43" ht="12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</row>
    <row r="127" spans="1:43" ht="12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</row>
    <row r="128" spans="1:43" ht="12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</row>
    <row r="129" spans="1:43" ht="12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</row>
    <row r="130" spans="1:43" ht="12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</row>
    <row r="131" spans="1:43" ht="12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</row>
    <row r="132" spans="1:43" ht="12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</row>
    <row r="133" spans="1:43" ht="12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</row>
    <row r="134" spans="1:43" ht="12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</row>
    <row r="135" spans="1:43" ht="12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</row>
    <row r="136" spans="1:43" ht="12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</row>
    <row r="137" spans="1:43" ht="12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</row>
    <row r="138" spans="1:43" ht="12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</row>
    <row r="139" spans="1:43" ht="12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</row>
    <row r="140" spans="1:43" ht="12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</row>
    <row r="141" spans="1:43" ht="12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</row>
    <row r="142" spans="1:43" ht="12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</row>
    <row r="143" spans="1:43" ht="12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</row>
    <row r="144" spans="1:43" ht="12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</row>
    <row r="145" spans="1:43" ht="12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</row>
    <row r="146" spans="1:43" ht="12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</row>
    <row r="147" spans="1:43" ht="12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</row>
    <row r="148" spans="1:43" ht="12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</row>
    <row r="149" spans="1:43" ht="12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</row>
    <row r="150" spans="1:43" ht="12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</row>
    <row r="151" spans="1:43" ht="12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</row>
    <row r="152" spans="1:43" ht="12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</row>
    <row r="153" spans="1:43" ht="12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</row>
    <row r="154" spans="1:43" ht="12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</row>
    <row r="155" spans="1:43" ht="12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</row>
    <row r="156" spans="1:43" ht="12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</row>
    <row r="157" spans="1:43" ht="12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</row>
    <row r="158" spans="1:43" ht="12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</row>
    <row r="159" spans="1:43" ht="12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</row>
    <row r="160" spans="1:43" ht="12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</row>
    <row r="161" spans="1:43" ht="12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</row>
    <row r="162" spans="1:43" ht="12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</row>
    <row r="163" spans="1:43" ht="12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</row>
    <row r="164" spans="1:43" ht="12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</row>
    <row r="165" spans="1:43" ht="12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</row>
    <row r="166" spans="1:43" ht="12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</row>
    <row r="167" spans="1:43" ht="12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</row>
    <row r="168" spans="1:43" ht="12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</row>
    <row r="169" spans="1:43" ht="12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</row>
    <row r="170" spans="1:43" ht="12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</row>
    <row r="171" spans="1:43" ht="12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</row>
    <row r="172" spans="1:43" ht="12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</row>
    <row r="173" spans="1:43" ht="12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</row>
    <row r="174" spans="1:43" ht="12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</row>
    <row r="175" spans="1:43" ht="12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</row>
    <row r="176" spans="1:43" ht="12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</row>
    <row r="177" spans="1:43" ht="12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</row>
    <row r="178" spans="1:43" ht="12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</row>
    <row r="179" spans="1:43" ht="12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</row>
    <row r="180" spans="1:43" ht="12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</row>
    <row r="181" spans="1:43" ht="12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</row>
    <row r="182" spans="1:43" ht="12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</row>
    <row r="183" spans="1:43" ht="12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</row>
    <row r="184" spans="1:43" ht="12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</row>
    <row r="185" spans="1:43" ht="12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</row>
    <row r="186" spans="1:43" ht="12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</row>
    <row r="187" spans="1:43" ht="12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</row>
    <row r="188" spans="1:43" ht="12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</row>
    <row r="189" spans="1:43" ht="12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</row>
    <row r="190" spans="1:43" ht="12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</row>
    <row r="191" spans="1:43" ht="12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</row>
    <row r="192" spans="1:43" ht="12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</row>
    <row r="193" spans="1:43" ht="12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</row>
    <row r="194" spans="1:43" ht="12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</row>
    <row r="195" spans="1:43" ht="12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</row>
    <row r="196" spans="1:43" ht="12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</row>
    <row r="197" spans="1:43" ht="12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</row>
    <row r="198" spans="1:43" ht="12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</row>
    <row r="199" spans="1:43" ht="12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</row>
    <row r="200" spans="1:43" ht="12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</row>
    <row r="201" spans="1:43" ht="12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</row>
    <row r="202" spans="1:43" ht="12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</row>
    <row r="203" spans="1:43" ht="12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</row>
    <row r="204" spans="1:43" ht="12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</row>
    <row r="205" spans="1:43" ht="12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</row>
    <row r="206" spans="1:43" ht="12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</row>
    <row r="207" spans="1:43" ht="12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</row>
    <row r="208" spans="1:43" ht="12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</row>
    <row r="209" spans="1:43" ht="12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</row>
    <row r="210" spans="1:43" ht="12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</row>
    <row r="211" spans="1:43" ht="12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</row>
    <row r="212" spans="1:43" ht="12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</row>
    <row r="213" spans="1:43" ht="12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</row>
    <row r="214" spans="1:43" ht="12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</row>
    <row r="215" spans="1:43" ht="12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</row>
    <row r="216" spans="1:43" ht="12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</row>
    <row r="217" spans="1:43" ht="12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</row>
    <row r="218" spans="1:43" ht="12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</row>
    <row r="219" spans="1:43" ht="12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</row>
    <row r="220" spans="1:43" ht="12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</row>
    <row r="221" spans="1:43" ht="12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</row>
    <row r="222" spans="1:43" ht="12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</row>
    <row r="223" spans="1:43" ht="12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</row>
    <row r="224" spans="1:43" ht="12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</row>
    <row r="225" spans="1:43" ht="12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</row>
    <row r="226" spans="1:43" ht="12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</row>
    <row r="227" spans="1:43" ht="12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</row>
    <row r="228" spans="1:43" ht="12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</row>
    <row r="229" spans="1:43" ht="12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</row>
    <row r="230" spans="1:43" ht="12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</row>
    <row r="231" spans="1:43" ht="12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</row>
    <row r="232" spans="1:43" ht="12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</row>
    <row r="233" spans="1:43" ht="12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</row>
    <row r="234" spans="1:43" ht="12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</row>
    <row r="235" spans="1:43" ht="12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</row>
    <row r="236" spans="1:43" ht="12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</row>
    <row r="237" spans="1:43" ht="12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</row>
    <row r="238" spans="1:43" ht="12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</row>
    <row r="239" spans="1:43" ht="12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</row>
    <row r="240" spans="1:43" ht="12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</row>
    <row r="241" spans="1:43" ht="12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</row>
    <row r="242" spans="1:43" ht="12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</row>
    <row r="243" spans="1:43" ht="12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</row>
    <row r="244" spans="1:43" ht="12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</row>
    <row r="245" spans="1:43" ht="12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</row>
    <row r="246" spans="1:43" ht="12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</row>
    <row r="247" spans="1:43" ht="12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</row>
    <row r="248" spans="1:43" ht="12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</row>
    <row r="249" spans="1:43" ht="12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</row>
    <row r="250" spans="1:43" ht="12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</row>
    <row r="251" spans="1:43" ht="12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</row>
    <row r="252" spans="1:43" ht="12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</row>
    <row r="253" spans="1:43" ht="12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</row>
    <row r="254" spans="1:43" ht="12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</row>
    <row r="255" spans="1:43" ht="12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</row>
    <row r="256" spans="1:43" ht="12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</row>
    <row r="257" spans="1:43" ht="12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</row>
    <row r="258" spans="1:43" ht="12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</row>
    <row r="259" spans="1:43" ht="12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</row>
    <row r="260" spans="1:43" ht="12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</row>
    <row r="261" spans="1:43" ht="12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</row>
    <row r="262" spans="1:43" ht="12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</row>
    <row r="263" spans="1:43" ht="12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</row>
    <row r="264" spans="1:43" ht="12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</row>
    <row r="265" spans="1:43" ht="12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</row>
    <row r="266" spans="1:43" ht="12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</row>
    <row r="267" spans="1:43" ht="12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</row>
    <row r="268" spans="1:43" ht="12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</row>
    <row r="269" spans="1:43" ht="12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</row>
    <row r="270" spans="1:43" ht="12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</row>
    <row r="271" spans="1:43" ht="12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</row>
    <row r="272" spans="1:43" ht="12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</row>
    <row r="273" spans="1:43" ht="12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</row>
    <row r="274" spans="1:43" ht="12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</row>
    <row r="275" spans="1:43" ht="12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</row>
    <row r="276" spans="1:43" ht="12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</row>
    <row r="277" spans="1:43" ht="12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</row>
    <row r="278" spans="1:43" ht="12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</row>
    <row r="279" spans="1:43" ht="12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</row>
    <row r="280" spans="1:43" ht="12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</row>
    <row r="281" spans="1:43" ht="12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</row>
    <row r="282" spans="1:43" ht="12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</row>
    <row r="283" spans="1:43" ht="12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</row>
    <row r="284" spans="1:43" ht="12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</row>
    <row r="285" spans="1:43" ht="12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</row>
    <row r="286" spans="1:43" ht="12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</row>
    <row r="287" spans="1:43" ht="12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</row>
    <row r="288" spans="1:43" ht="12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</row>
    <row r="289" spans="1:43" ht="12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</row>
    <row r="290" spans="1:43" ht="12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</row>
    <row r="291" spans="1:43" ht="12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</row>
    <row r="292" spans="1:43" ht="12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</row>
    <row r="293" spans="1:43" ht="12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</row>
    <row r="294" spans="1:43" ht="12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</row>
    <row r="295" spans="1:43" ht="12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</row>
    <row r="296" spans="1:43" ht="12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</row>
    <row r="297" spans="1:43" ht="12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</row>
    <row r="298" spans="1:43" ht="12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</row>
    <row r="299" spans="1:43" ht="12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</row>
    <row r="300" spans="1:43" ht="12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</row>
    <row r="301" spans="1:43" ht="12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</row>
    <row r="302" spans="1:43" ht="12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</row>
    <row r="303" spans="1:43" ht="12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</row>
    <row r="304" spans="1:43" ht="12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</row>
    <row r="305" spans="1:43" ht="12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</row>
    <row r="306" spans="1:43" ht="12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</row>
    <row r="307" spans="1:43" ht="12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</row>
    <row r="308" spans="1:43" ht="12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</row>
    <row r="309" spans="1:43" ht="12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</row>
    <row r="310" spans="1:43" ht="12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</row>
    <row r="311" spans="1:43" ht="12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</row>
    <row r="312" spans="1:43" ht="12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</row>
    <row r="313" spans="1:43" ht="12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</row>
    <row r="314" spans="1:43" ht="12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</row>
    <row r="315" spans="1:43" ht="12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</row>
    <row r="316" spans="1:43" ht="12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</row>
    <row r="317" spans="1:43" ht="12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</row>
    <row r="318" spans="1:43" ht="12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</row>
    <row r="319" spans="1:43" ht="12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</row>
    <row r="320" spans="1:43" ht="12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</row>
    <row r="321" spans="1:43" ht="12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</row>
    <row r="322" spans="1:43" ht="12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</row>
    <row r="323" spans="1:43" ht="12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</row>
    <row r="324" spans="1:43" ht="12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</row>
    <row r="325" spans="1:43" ht="12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</row>
    <row r="326" spans="1:43" ht="12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</row>
    <row r="327" spans="1:43" ht="12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</row>
    <row r="328" spans="1:43" ht="12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</row>
    <row r="329" spans="1:43" ht="12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</row>
    <row r="330" spans="1:43" ht="12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</row>
    <row r="331" spans="1:43" ht="12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</row>
    <row r="332" spans="1:43" ht="12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</row>
    <row r="333" spans="1:43" ht="12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</row>
    <row r="334" spans="1:43" ht="12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</row>
    <row r="335" spans="1:43" ht="12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</row>
    <row r="336" spans="1:43" ht="12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</row>
    <row r="337" spans="1:43" ht="12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</row>
    <row r="338" spans="1:43" ht="12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</row>
    <row r="339" spans="1:43" ht="12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</row>
    <row r="340" spans="1:43" ht="12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</row>
    <row r="341" spans="1:43" ht="12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</row>
    <row r="342" spans="1:43" ht="12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</row>
    <row r="343" spans="1:43" ht="12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</row>
    <row r="344" spans="1:43" ht="12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</row>
    <row r="345" spans="1:43" ht="12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</row>
    <row r="346" spans="1:43" ht="12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</row>
    <row r="347" spans="1:43" ht="12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</row>
    <row r="348" spans="1:43" ht="12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</row>
    <row r="349" spans="1:43" ht="12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</row>
    <row r="350" spans="1:43" ht="12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</row>
    <row r="351" spans="1:43" ht="12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</row>
    <row r="352" spans="1:43" ht="12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</row>
    <row r="353" spans="1:43" ht="12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</row>
    <row r="354" spans="1:43" ht="12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</row>
    <row r="355" spans="1:43" ht="12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</row>
    <row r="356" spans="1:43" ht="12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</row>
    <row r="357" spans="1:43" ht="12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</row>
    <row r="358" spans="1:43" ht="12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</row>
    <row r="359" spans="1:43" ht="12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</row>
    <row r="360" spans="1:43" ht="12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</row>
    <row r="361" spans="1:43" ht="12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</row>
    <row r="362" spans="1:43" ht="12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</row>
    <row r="363" spans="1:43" ht="12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</row>
    <row r="364" spans="1:43" ht="12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</row>
    <row r="365" spans="1:43" ht="12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</row>
    <row r="366" spans="1:43" ht="12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</row>
    <row r="367" spans="1:43" ht="12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</row>
    <row r="368" spans="1:43" ht="12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</row>
    <row r="369" spans="1:43" ht="12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</row>
    <row r="370" spans="1:43" ht="12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</row>
    <row r="371" spans="1:43" ht="12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</row>
    <row r="372" spans="1:43" ht="12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</row>
    <row r="373" spans="1:43" ht="12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</row>
    <row r="374" spans="1:43" ht="12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</row>
    <row r="375" spans="1:43" ht="12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</row>
    <row r="376" spans="1:43" ht="12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</row>
    <row r="377" spans="1:43" ht="12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</row>
    <row r="378" spans="1:43" ht="12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</row>
    <row r="379" spans="1:43" ht="12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</row>
    <row r="380" spans="1:43" ht="12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</row>
    <row r="381" spans="1:43" ht="12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</row>
    <row r="382" spans="1:43" ht="12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</row>
    <row r="383" spans="1:43" ht="12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</row>
    <row r="384" spans="1:43" ht="12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</row>
    <row r="385" spans="1:43" ht="12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</row>
    <row r="386" spans="1:43" ht="12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</row>
    <row r="387" spans="1:43" ht="12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</row>
    <row r="388" spans="1:43" ht="12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</row>
    <row r="389" spans="1:43" ht="12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</row>
    <row r="390" spans="1:43" ht="12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</row>
    <row r="391" spans="1:43" ht="12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</row>
    <row r="392" spans="1:43" ht="12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</row>
    <row r="393" spans="1:43" ht="12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</row>
    <row r="394" spans="1:43" ht="12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</row>
    <row r="395" spans="1:43" ht="12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</row>
    <row r="396" spans="1:43" ht="12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</row>
    <row r="397" spans="1:43" ht="12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</row>
    <row r="398" spans="1:43" ht="12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</row>
    <row r="399" spans="1:43" ht="12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</row>
    <row r="400" spans="1:43" ht="12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</row>
    <row r="401" spans="1:43" ht="12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</row>
    <row r="402" spans="1:43" ht="12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</row>
    <row r="403" spans="1:43" ht="12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</row>
    <row r="404" spans="1:43" ht="12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</row>
    <row r="405" spans="1:43" ht="12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</row>
    <row r="406" spans="1:43" ht="12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</row>
    <row r="407" spans="1:43" ht="12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</row>
    <row r="408" spans="1:43" ht="12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</row>
    <row r="409" spans="1:43" ht="12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</row>
    <row r="410" spans="1:43" ht="12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</row>
    <row r="411" spans="1:43" ht="12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</row>
    <row r="412" spans="1:43" ht="12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</row>
    <row r="413" spans="1:43" ht="12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</row>
    <row r="414" spans="1:43" ht="12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</row>
    <row r="415" spans="1:43" ht="12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</row>
    <row r="416" spans="1:43" ht="12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</row>
    <row r="417" spans="1:43" ht="12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</row>
    <row r="418" spans="1:43" ht="12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</row>
    <row r="419" spans="1:43" ht="12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</row>
    <row r="420" spans="1:43" ht="12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</row>
    <row r="421" spans="1:43" ht="12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</row>
    <row r="422" spans="1:43" ht="12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</row>
    <row r="423" spans="1:43" ht="12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</row>
    <row r="424" spans="1:43" ht="12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</row>
    <row r="425" spans="1:43" ht="12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</row>
    <row r="426" spans="1:43" ht="12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</row>
    <row r="427" spans="1:43" ht="12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</row>
    <row r="428" spans="1:43" ht="12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</row>
    <row r="429" spans="1:43" ht="12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</row>
    <row r="430" spans="1:43" ht="12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</row>
    <row r="431" spans="1:43" ht="12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</row>
    <row r="432" spans="1:43" ht="12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</row>
    <row r="433" spans="1:43" ht="12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</row>
    <row r="434" spans="1:43" ht="12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</row>
    <row r="435" spans="1:43" ht="12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</row>
    <row r="436" spans="1:43" ht="12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</row>
    <row r="437" spans="1:43" ht="12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</row>
    <row r="438" spans="1:43" ht="12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</row>
    <row r="439" spans="1:43" ht="12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</row>
    <row r="440" spans="1:43" ht="12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</row>
    <row r="441" spans="1:43" ht="12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</row>
    <row r="442" spans="1:43" ht="12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</row>
    <row r="443" spans="1:43" ht="12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</row>
    <row r="444" spans="1:43" ht="12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</row>
    <row r="445" spans="1:43" ht="12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</row>
    <row r="446" spans="1:43" ht="12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</row>
    <row r="447" spans="1:43" ht="12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</row>
    <row r="448" spans="1:43" ht="12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</row>
    <row r="449" spans="1:43" ht="12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</row>
    <row r="450" spans="1:43" ht="12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</row>
    <row r="451" spans="1:43" ht="12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</row>
    <row r="452" spans="1:43" ht="12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</row>
    <row r="453" spans="1:43" ht="12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</row>
    <row r="454" spans="1:43" ht="12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</row>
    <row r="455" spans="1:43" ht="12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</row>
    <row r="456" spans="1:43" ht="12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</row>
    <row r="457" spans="1:43" ht="12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</row>
    <row r="458" spans="1:43" ht="12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</row>
    <row r="459" spans="1:43" ht="12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</row>
    <row r="460" spans="1:43" ht="12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</row>
    <row r="461" spans="1:43" ht="12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</row>
    <row r="462" spans="1:43" ht="12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</row>
    <row r="463" spans="1:43" ht="12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</row>
    <row r="464" spans="1:43" ht="12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</row>
    <row r="465" spans="1:43" ht="12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</row>
    <row r="466" spans="1:43" ht="12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</row>
    <row r="467" spans="1:43" ht="12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</row>
    <row r="468" spans="1:43" ht="12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</row>
    <row r="469" spans="1:43" ht="12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</row>
    <row r="470" spans="1:43" ht="12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</row>
    <row r="471" spans="1:43" ht="12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</row>
    <row r="472" spans="1:43" ht="12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</row>
    <row r="473" spans="1:43" ht="12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</row>
    <row r="474" spans="1:43" ht="12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</row>
    <row r="475" spans="1:43" ht="12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</row>
    <row r="476" spans="1:43" ht="12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</row>
    <row r="477" spans="1:43" ht="12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</row>
    <row r="478" spans="1:43" ht="12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</row>
    <row r="479" spans="1:43" ht="12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</row>
    <row r="480" spans="1:43" ht="12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</row>
    <row r="481" spans="1:43" ht="12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</row>
    <row r="482" spans="1:43" ht="12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</row>
    <row r="483" spans="1:43" ht="12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</row>
    <row r="484" spans="1:43" ht="12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</row>
    <row r="485" spans="1:43" ht="12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</row>
    <row r="486" spans="1:43" ht="12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</row>
    <row r="487" spans="1:43" ht="12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</row>
    <row r="488" spans="1:43" ht="12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</row>
    <row r="489" spans="1:43" ht="12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</row>
    <row r="490" spans="1:43" ht="12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</row>
    <row r="491" spans="1:43" ht="12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</row>
    <row r="492" spans="1:43" ht="12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</row>
    <row r="493" spans="1:43" ht="12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</row>
    <row r="494" spans="1:43" ht="12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</row>
    <row r="495" spans="1:43" ht="12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</row>
    <row r="496" spans="1:43" ht="12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</row>
    <row r="497" spans="1:43" ht="12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</row>
    <row r="498" spans="1:43" ht="12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</row>
    <row r="499" spans="1:43" ht="12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</row>
    <row r="500" spans="1:43" ht="12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</row>
    <row r="501" spans="1:43" ht="12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</row>
    <row r="502" spans="1:43" ht="12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</row>
    <row r="503" spans="1:43" ht="12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</row>
    <row r="504" spans="1:43" ht="12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</row>
    <row r="505" spans="1:43" ht="12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</row>
    <row r="506" spans="1:43" ht="12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</row>
    <row r="507" spans="1:43" ht="12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</row>
    <row r="508" spans="1:43" ht="12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</row>
    <row r="509" spans="1:43" ht="12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</row>
    <row r="510" spans="1:43" ht="12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</row>
    <row r="511" spans="1:43" ht="12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</row>
    <row r="512" spans="1:43" ht="12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</row>
    <row r="513" spans="1:43" ht="12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</row>
    <row r="514" spans="1:43" ht="12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</row>
    <row r="515" spans="1:43" ht="12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</row>
    <row r="516" spans="1:43" ht="12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</row>
    <row r="517" spans="1:43" ht="12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</row>
    <row r="518" spans="1:43" ht="12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</row>
    <row r="519" spans="1:43" ht="12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</row>
    <row r="520" spans="1:43" ht="12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</row>
    <row r="521" spans="1:43" ht="12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</row>
    <row r="522" spans="1:43" ht="12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</row>
    <row r="523" spans="1:43" ht="12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</row>
    <row r="524" spans="1:43" ht="12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</row>
    <row r="525" spans="1:43" ht="12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</row>
    <row r="526" spans="1:43" ht="12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</row>
    <row r="527" spans="1:43" ht="12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</row>
    <row r="528" spans="1:43" ht="12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</row>
    <row r="529" spans="1:43" ht="12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</row>
    <row r="530" spans="1:43" ht="12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</row>
    <row r="531" spans="1:43" ht="12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</row>
    <row r="532" spans="1:43" ht="12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</row>
    <row r="533" spans="1:43" ht="12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</row>
    <row r="534" spans="1:43" ht="12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</row>
    <row r="535" spans="1:43" ht="12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</row>
    <row r="536" spans="1:43" ht="12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</row>
    <row r="537" spans="1:43" ht="12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</row>
    <row r="538" spans="1:43" ht="12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</row>
    <row r="539" spans="1:43" ht="12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</row>
    <row r="540" spans="1:43" ht="12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</row>
    <row r="541" spans="1:43" ht="12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</row>
    <row r="542" spans="1:43" ht="12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</row>
    <row r="543" spans="1:43" ht="12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</row>
    <row r="544" spans="1:43" ht="12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</row>
    <row r="545" spans="1:43" ht="12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</row>
    <row r="546" spans="1:43" ht="12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</row>
    <row r="547" spans="1:43" ht="12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</row>
    <row r="548" spans="1:43" ht="12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</row>
    <row r="549" spans="1:43" ht="12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</row>
    <row r="550" spans="1:43" ht="12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</row>
    <row r="551" spans="1:43" ht="12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</row>
    <row r="552" spans="1:43" ht="12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</row>
    <row r="553" spans="1:43" ht="12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</row>
    <row r="554" spans="1:43" ht="12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</row>
    <row r="555" spans="1:43" ht="12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</row>
    <row r="556" spans="1:43" ht="12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</row>
    <row r="557" spans="1:43" ht="12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</row>
    <row r="558" spans="1:43" ht="12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</row>
    <row r="559" spans="1:43" ht="12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</row>
    <row r="560" spans="1:43" ht="12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</row>
    <row r="561" spans="1:43" ht="12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</row>
    <row r="562" spans="1:43" ht="12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</row>
    <row r="563" spans="1:43" ht="12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</row>
    <row r="564" spans="1:43" ht="12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</row>
    <row r="565" spans="1:43" ht="12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</row>
    <row r="566" spans="1:43" ht="12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</row>
    <row r="567" spans="1:43" ht="12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</row>
    <row r="568" spans="1:43" ht="12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</row>
    <row r="569" spans="1:43" ht="12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</row>
    <row r="570" spans="1:43" ht="12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</row>
    <row r="571" spans="1:43" ht="12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</row>
    <row r="572" spans="1:43" ht="12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</row>
    <row r="573" spans="1:43" ht="12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</row>
    <row r="574" spans="1:43" ht="12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</row>
    <row r="575" spans="1:43" ht="12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</row>
    <row r="576" spans="1:43" ht="12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</row>
    <row r="577" spans="1:43" ht="12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</row>
    <row r="578" spans="1:43" ht="12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</row>
    <row r="579" spans="1:43" ht="12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</row>
    <row r="580" spans="1:43" ht="12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</row>
    <row r="581" spans="1:43" ht="12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</row>
    <row r="582" spans="1:43" ht="12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</row>
    <row r="583" spans="1:43" ht="12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</row>
    <row r="584" spans="1:43" ht="12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</row>
    <row r="585" spans="1:43" ht="12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</row>
    <row r="586" spans="1:43" ht="12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</row>
    <row r="587" spans="1:43" ht="12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</row>
    <row r="588" spans="1:43" ht="12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</row>
    <row r="589" spans="1:43" ht="12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</row>
    <row r="590" spans="1:43" ht="12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</row>
    <row r="591" spans="1:43" ht="12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</row>
    <row r="592" spans="1:43" ht="12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</row>
    <row r="593" spans="1:43" ht="12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</row>
    <row r="594" spans="1:43" ht="12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</row>
    <row r="595" spans="1:43" ht="12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</row>
    <row r="596" spans="1:43" ht="12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</row>
    <row r="597" spans="1:43" ht="12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</row>
    <row r="598" spans="1:43" ht="12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</row>
    <row r="599" spans="1:43" ht="12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</row>
    <row r="600" spans="1:43" ht="12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</row>
    <row r="601" spans="1:43" ht="12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</row>
    <row r="602" spans="1:43" ht="12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</row>
    <row r="603" spans="1:43" ht="12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</row>
    <row r="604" spans="1:43" ht="12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</row>
    <row r="605" spans="1:43" ht="12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</row>
    <row r="606" spans="1:43" ht="12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</row>
    <row r="607" spans="1:43" ht="12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</row>
    <row r="608" spans="1:43" ht="12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</row>
    <row r="609" spans="1:43" ht="12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</row>
    <row r="610" spans="1:43" ht="12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</row>
    <row r="611" spans="1:43" ht="12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</row>
    <row r="612" spans="1:43" ht="12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</row>
    <row r="613" spans="1:43" ht="12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</row>
    <row r="614" spans="1:43" ht="12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</row>
    <row r="615" spans="1:43" ht="12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</row>
    <row r="616" spans="1:43" ht="12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</row>
    <row r="617" spans="1:43" ht="12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</row>
    <row r="618" spans="1:43" ht="12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</row>
    <row r="619" spans="1:43" ht="12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</row>
    <row r="620" spans="1:43" ht="12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</row>
    <row r="621" spans="1:43" ht="12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</row>
    <row r="622" spans="1:43" ht="12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</row>
    <row r="623" spans="1:43" ht="12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</row>
    <row r="624" spans="1:43" ht="12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</row>
    <row r="625" spans="1:43" ht="12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</row>
    <row r="626" spans="1:43" ht="12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</row>
    <row r="627" spans="1:43" ht="12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</row>
    <row r="628" spans="1:43" ht="12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</row>
    <row r="629" spans="1:43" ht="12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</row>
    <row r="630" spans="1:43" ht="12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</row>
    <row r="631" spans="1:43" ht="12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</row>
    <row r="632" spans="1:43" ht="12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</row>
    <row r="633" spans="1:43" ht="12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</row>
    <row r="634" spans="1:43" ht="12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</row>
    <row r="635" spans="1:43" ht="12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</row>
    <row r="636" spans="1:43" ht="12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</row>
    <row r="637" spans="1:43" ht="12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</row>
    <row r="638" spans="1:43" ht="12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</row>
    <row r="639" spans="1:43" ht="12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</row>
    <row r="640" spans="1:43" ht="12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</row>
    <row r="641" spans="1:43" ht="12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</row>
    <row r="642" spans="1:43" ht="12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</row>
    <row r="643" spans="1:43" ht="12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</row>
    <row r="644" spans="1:43" ht="12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</row>
    <row r="645" spans="1:43" ht="12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</row>
    <row r="646" spans="1:43" ht="12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</row>
    <row r="647" spans="1:43" ht="12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</row>
    <row r="648" spans="1:43" ht="12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</row>
    <row r="649" spans="1:43" ht="12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</row>
    <row r="650" spans="1:43" ht="12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</row>
    <row r="651" spans="1:43" ht="12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</row>
    <row r="652" spans="1:43" ht="12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</row>
    <row r="653" spans="1:43" ht="12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</row>
    <row r="654" spans="1:43" ht="12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</row>
    <row r="655" spans="1:43" ht="12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</row>
    <row r="656" spans="1:43" ht="12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</row>
    <row r="657" spans="1:43" ht="12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</row>
    <row r="658" spans="1:43" ht="12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</row>
    <row r="659" spans="1:43" ht="12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</row>
    <row r="660" spans="1:43" ht="12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</row>
    <row r="661" spans="1:43" ht="12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</row>
    <row r="662" spans="1:43" ht="12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</row>
    <row r="663" spans="1:43" ht="12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</row>
    <row r="664" spans="1:43" ht="12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</row>
    <row r="665" spans="1:43" ht="12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</row>
    <row r="666" spans="1:43" ht="12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</row>
    <row r="667" spans="1:43" ht="12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</row>
    <row r="668" spans="1:43" ht="12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</row>
    <row r="669" spans="1:43" ht="12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</row>
    <row r="670" spans="1:43" ht="12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</row>
    <row r="671" spans="1:43" ht="12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</row>
    <row r="672" spans="1:43" ht="12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</row>
    <row r="673" spans="1:43" ht="12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</row>
    <row r="674" spans="1:43" ht="12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</row>
    <row r="675" spans="1:43" ht="12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</row>
    <row r="676" spans="1:43" ht="12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</row>
    <row r="677" spans="1:43" ht="12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</row>
    <row r="678" spans="1:43" ht="12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</row>
    <row r="679" spans="1:43" ht="12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</row>
    <row r="680" spans="1:43" ht="12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</row>
    <row r="681" spans="1:43" ht="12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</row>
    <row r="682" spans="1:43" ht="12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</row>
    <row r="683" spans="1:43" ht="12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</row>
    <row r="684" spans="1:43" ht="12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</row>
    <row r="685" spans="1:43" ht="12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</row>
    <row r="686" spans="1:43" ht="12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</row>
    <row r="687" spans="1:43" ht="12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</row>
    <row r="688" spans="1:43" ht="12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</row>
    <row r="689" spans="1:43" ht="12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</row>
    <row r="690" spans="1:43" ht="12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</row>
    <row r="691" spans="1:43" ht="12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</row>
    <row r="692" spans="1:43" ht="12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</row>
    <row r="693" spans="1:43" ht="12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</row>
    <row r="694" spans="1:43" ht="12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</row>
    <row r="695" spans="1:43" ht="12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</row>
    <row r="696" spans="1:43" ht="12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</row>
    <row r="697" spans="1:43" ht="12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</row>
    <row r="698" spans="1:43" ht="12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</row>
    <row r="699" spans="1:43" ht="12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</row>
    <row r="700" spans="1:43" ht="12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</row>
    <row r="701" spans="1:43" ht="12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</row>
    <row r="702" spans="1:43" ht="12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</row>
    <row r="703" spans="1:43" ht="12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</row>
    <row r="704" spans="1:43" ht="12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</row>
    <row r="705" spans="1:43" ht="12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</row>
    <row r="706" spans="1:43" ht="12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</row>
    <row r="707" spans="1:43" ht="12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</row>
    <row r="708" spans="1:43" ht="12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</row>
    <row r="709" spans="1:43" ht="12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</row>
    <row r="710" spans="1:43" ht="12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</row>
    <row r="711" spans="1:43" ht="12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</row>
    <row r="712" spans="1:43" ht="12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</row>
    <row r="713" spans="1:43" ht="12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</row>
    <row r="714" spans="1:43" ht="12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</row>
    <row r="715" spans="1:43" ht="12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</row>
    <row r="716" spans="1:43" ht="12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</row>
    <row r="717" spans="1:43" ht="12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</row>
    <row r="718" spans="1:43" ht="12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</row>
    <row r="719" spans="1:43" ht="12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</row>
    <row r="720" spans="1:43" ht="12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</row>
    <row r="721" spans="1:43" ht="12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</row>
    <row r="722" spans="1:43" ht="12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</row>
    <row r="723" spans="1:43" ht="12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</row>
    <row r="724" spans="1:43" ht="12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</row>
    <row r="725" spans="1:43" ht="12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</row>
    <row r="726" spans="1:43" ht="12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</row>
    <row r="727" spans="1:43" ht="12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</row>
    <row r="728" spans="1:43" ht="12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</row>
    <row r="729" spans="1:43" ht="12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</row>
    <row r="730" spans="1:43" ht="12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</row>
    <row r="731" spans="1:43" ht="12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</row>
    <row r="732" spans="1:43" ht="12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</row>
    <row r="733" spans="1:43" ht="12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</row>
    <row r="734" spans="1:43" ht="12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</row>
    <row r="735" spans="1:43" ht="12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</row>
    <row r="736" spans="1:43" ht="12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</row>
    <row r="737" spans="1:43" ht="12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</row>
    <row r="738" spans="1:43" ht="12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</row>
    <row r="739" spans="1:43" ht="12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</row>
    <row r="740" spans="1:43" ht="12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</row>
    <row r="741" spans="1:43" ht="12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</row>
    <row r="742" spans="1:43" ht="12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</row>
    <row r="743" spans="1:43" ht="12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</row>
    <row r="744" spans="1:43" ht="12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</row>
    <row r="745" spans="1:43" ht="12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</row>
    <row r="746" spans="1:43" ht="12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</row>
    <row r="747" spans="1:43" ht="12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</row>
    <row r="748" spans="1:43" ht="12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</row>
    <row r="749" spans="1:43" ht="12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</row>
    <row r="750" spans="1:43" ht="12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</row>
    <row r="751" spans="1:43" ht="12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</row>
    <row r="752" spans="1:43" ht="12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</row>
    <row r="753" spans="1:43" ht="12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</row>
    <row r="754" spans="1:43" ht="12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</row>
    <row r="755" spans="1:43" ht="12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</row>
    <row r="756" spans="1:43" ht="12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</row>
    <row r="757" spans="1:43" ht="12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</row>
    <row r="758" spans="1:43" ht="12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</row>
    <row r="759" spans="1:43" ht="12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</row>
    <row r="760" spans="1:43" ht="12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</row>
    <row r="761" spans="1:43" ht="12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</row>
    <row r="762" spans="1:43" ht="12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</row>
    <row r="763" spans="1:43" ht="12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</row>
    <row r="764" spans="1:43" ht="12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</row>
    <row r="765" spans="1:43" ht="12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</row>
    <row r="766" spans="1:43" ht="12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</row>
    <row r="767" spans="1:43" ht="12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</row>
    <row r="768" spans="1:43" ht="12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</row>
    <row r="769" spans="1:43" ht="12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</row>
    <row r="770" spans="1:43" ht="12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</row>
    <row r="771" spans="1:43" ht="12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</row>
    <row r="772" spans="1:43" ht="12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</row>
    <row r="773" spans="1:43" ht="12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</row>
    <row r="774" spans="1:43" ht="12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</row>
    <row r="775" spans="1:43" ht="12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</row>
    <row r="776" spans="1:43" ht="12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</row>
    <row r="777" spans="1:43" ht="12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</row>
    <row r="778" spans="1:43" ht="12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</row>
    <row r="779" spans="1:43" ht="12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</row>
    <row r="780" spans="1:43" ht="12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</row>
    <row r="781" spans="1:43" ht="12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</row>
    <row r="782" spans="1:43" ht="12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</row>
    <row r="783" spans="1:43" ht="12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</row>
    <row r="784" spans="1:43" ht="12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</row>
    <row r="785" spans="1:43" ht="12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</row>
    <row r="786" spans="1:43" ht="12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</row>
    <row r="787" spans="1:43" ht="12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</row>
    <row r="788" spans="1:43" ht="12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</row>
    <row r="789" spans="1:43" ht="12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</row>
    <row r="790" spans="1:43" ht="12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</row>
    <row r="791" spans="1:43" ht="12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</row>
    <row r="792" spans="1:43" ht="12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</row>
    <row r="793" spans="1:43" ht="12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</row>
    <row r="794" spans="1:43" ht="12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</row>
    <row r="795" spans="1:43" ht="12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</row>
    <row r="796" spans="1:43" ht="12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</row>
    <row r="797" spans="1:43" ht="12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</row>
    <row r="798" spans="1:43" ht="12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</row>
    <row r="799" spans="1:43" ht="12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</row>
    <row r="800" spans="1:43" ht="12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</row>
    <row r="801" spans="1:43" ht="12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</row>
    <row r="802" spans="1:43" ht="12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</row>
    <row r="803" spans="1:43" ht="12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</row>
    <row r="804" spans="1:43" ht="12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</row>
    <row r="805" spans="1:43" ht="12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</row>
    <row r="806" spans="1:43" ht="12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</row>
    <row r="807" spans="1:43" ht="12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</row>
    <row r="808" spans="1:43" ht="12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</row>
    <row r="809" spans="1:43" ht="12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</row>
    <row r="810" spans="1:43" ht="12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</row>
    <row r="811" spans="1:43" ht="12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</row>
    <row r="812" spans="1:43" ht="12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</row>
    <row r="813" spans="1:43" ht="12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</row>
    <row r="814" spans="1:43" ht="12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</row>
    <row r="815" spans="1:43" ht="12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</row>
    <row r="816" spans="1:43" ht="12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</row>
    <row r="817" spans="1:43" ht="12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</row>
    <row r="818" spans="1:43" ht="12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</row>
    <row r="819" spans="1:43" ht="12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</row>
    <row r="820" spans="1:43" ht="12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</row>
    <row r="821" spans="1:43" ht="12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</row>
    <row r="822" spans="1:43" ht="12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</row>
    <row r="823" spans="1:43" ht="12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</row>
    <row r="824" spans="1:43" ht="12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</row>
    <row r="825" spans="1:43" ht="12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</row>
    <row r="826" spans="1:43" ht="12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</row>
    <row r="827" spans="1:43" ht="12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</row>
    <row r="828" spans="1:43" ht="12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</row>
    <row r="829" spans="1:43" ht="12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</row>
    <row r="830" spans="1:43" ht="12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</row>
    <row r="831" spans="1:43" ht="12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</row>
    <row r="832" spans="1:43" ht="12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</row>
    <row r="833" spans="1:43" ht="12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</row>
    <row r="834" spans="1:43" ht="12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</row>
    <row r="835" spans="1:43" ht="12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</row>
    <row r="836" spans="1:43" ht="12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</row>
    <row r="837" spans="1:43" ht="12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</row>
    <row r="838" spans="1:43" ht="12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</row>
    <row r="839" spans="1:43" ht="12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</row>
    <row r="840" spans="1:43" ht="12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</row>
    <row r="841" spans="1:43" ht="12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</row>
    <row r="842" spans="1:43" ht="12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</row>
    <row r="843" spans="1:43" ht="12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</row>
    <row r="844" spans="1:43" ht="12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</row>
    <row r="845" spans="1:43" ht="12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</row>
    <row r="846" spans="1:43" ht="12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</row>
    <row r="847" spans="1:43" ht="12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</row>
    <row r="848" spans="1:43" ht="12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</row>
    <row r="849" spans="1:43" ht="12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</row>
    <row r="850" spans="1:43" ht="12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</row>
    <row r="851" spans="1:43" ht="12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</row>
    <row r="852" spans="1:43" ht="12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</row>
    <row r="853" spans="1:43" ht="12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</row>
    <row r="854" spans="1:43" ht="12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</row>
    <row r="855" spans="1:43" ht="12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</row>
    <row r="856" spans="1:43" ht="12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</row>
    <row r="857" spans="1:43" ht="12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</row>
    <row r="858" spans="1:43" ht="12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</row>
    <row r="859" spans="1:43" ht="12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</row>
    <row r="860" spans="1:43" ht="12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</row>
    <row r="861" spans="1:43" ht="12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</row>
    <row r="862" spans="1:43" ht="12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</row>
    <row r="863" spans="1:43" ht="12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</row>
    <row r="864" spans="1:43" ht="12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</row>
    <row r="865" spans="1:43" ht="12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</row>
    <row r="866" spans="1:43" ht="12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</row>
    <row r="867" spans="1:43" ht="12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</row>
    <row r="868" spans="1:43" ht="12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</row>
    <row r="869" spans="1:43" ht="12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</row>
    <row r="870" spans="1:43" ht="12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</row>
    <row r="871" spans="1:43" ht="12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</row>
    <row r="872" spans="1:43" ht="12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</row>
    <row r="873" spans="1:43" ht="12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</row>
    <row r="874" spans="1:43" ht="12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</row>
    <row r="875" spans="1:43" ht="12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</row>
    <row r="876" spans="1:43" ht="12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</row>
    <row r="877" spans="1:43" ht="12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</row>
    <row r="878" spans="1:43" ht="12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</row>
    <row r="879" spans="1:43" ht="12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</row>
    <row r="880" spans="1:43" ht="12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</row>
    <row r="881" spans="1:43" ht="12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</row>
    <row r="882" spans="1:43" ht="12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</row>
    <row r="883" spans="1:43" ht="12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</row>
    <row r="884" spans="1:43" ht="12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</row>
    <row r="885" spans="1:43" ht="12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</row>
    <row r="886" spans="1:43" ht="12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</row>
    <row r="887" spans="1:43" ht="12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</row>
    <row r="888" spans="1:43" ht="12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</row>
    <row r="889" spans="1:43" ht="12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</row>
    <row r="890" spans="1:43" ht="12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</row>
    <row r="891" spans="1:43" ht="12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</row>
    <row r="892" spans="1:43" ht="12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</row>
    <row r="893" spans="1:43" ht="12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</row>
    <row r="894" spans="1:43" ht="12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</row>
    <row r="895" spans="1:43" ht="12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</row>
    <row r="896" spans="1:43" ht="12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</row>
    <row r="897" spans="1:43" ht="12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</row>
    <row r="898" spans="1:43" ht="12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</row>
    <row r="899" spans="1:43" ht="12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</row>
    <row r="900" spans="1:43" ht="12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</row>
    <row r="901" spans="1:43" ht="12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</row>
    <row r="902" spans="1:43" ht="12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</row>
    <row r="903" spans="1:43" ht="12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</row>
    <row r="904" spans="1:43" ht="12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</row>
    <row r="905" spans="1:43" ht="12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</row>
    <row r="906" spans="1:43" ht="12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</row>
    <row r="907" spans="1:43" ht="12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</row>
    <row r="908" spans="1:43" ht="12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</row>
    <row r="909" spans="1:43" ht="12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</row>
    <row r="910" spans="1:43" ht="12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</row>
    <row r="911" spans="1:43" ht="12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</row>
    <row r="912" spans="1:43" ht="12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</row>
    <row r="913" spans="1:43" ht="12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</row>
    <row r="914" spans="1:43" ht="12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</row>
    <row r="915" spans="1:43" ht="12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</row>
    <row r="916" spans="1:43" ht="12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</row>
    <row r="917" spans="1:43" ht="12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</row>
    <row r="918" spans="1:43" ht="12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</row>
    <row r="919" spans="1:43" ht="12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</row>
    <row r="920" spans="1:43" ht="12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</row>
    <row r="921" spans="1:43" ht="12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</row>
    <row r="922" spans="1:43" ht="12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</row>
    <row r="923" spans="1:43" ht="12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</row>
    <row r="924" spans="1:43" ht="12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</row>
    <row r="925" spans="1:43" ht="12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</row>
    <row r="926" spans="1:43" ht="12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</row>
    <row r="927" spans="1:43" ht="12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</row>
    <row r="928" spans="1:43" ht="12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</row>
    <row r="929" spans="1:43" ht="12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</row>
    <row r="930" spans="1:43" ht="12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</row>
    <row r="931" spans="1:43" ht="12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</row>
    <row r="932" spans="1:43" ht="12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</row>
    <row r="933" spans="1:43" ht="12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</row>
    <row r="934" spans="1:43" ht="12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</row>
    <row r="935" spans="1:43" ht="12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</row>
    <row r="936" spans="1:43" ht="12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</row>
    <row r="937" spans="1:43" ht="12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</row>
    <row r="938" spans="1:43" ht="12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</row>
    <row r="939" spans="1:43" ht="12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</row>
    <row r="940" spans="1:43" ht="12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</row>
    <row r="941" spans="1:43" ht="12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</row>
    <row r="942" spans="1:43" ht="12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</row>
    <row r="943" spans="1:43" ht="12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</row>
    <row r="944" spans="1:43" ht="12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</row>
    <row r="945" spans="1:43" ht="12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</row>
    <row r="946" spans="1:43" ht="12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</row>
    <row r="947" spans="1:43" ht="12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</row>
    <row r="948" spans="1:43" ht="12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</row>
    <row r="949" spans="1:43" ht="12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</row>
    <row r="950" spans="1:43" ht="12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</row>
    <row r="951" spans="1:43" ht="12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</row>
    <row r="952" spans="1:43" ht="12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</row>
    <row r="953" spans="1:43" ht="12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</row>
    <row r="954" spans="1:43" ht="12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</row>
    <row r="955" spans="1:43" ht="12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</row>
    <row r="956" spans="1:43" ht="12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</row>
    <row r="957" spans="1:43" ht="12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</row>
    <row r="958" spans="1:43" ht="12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</row>
    <row r="959" spans="1:43" ht="12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</row>
    <row r="960" spans="1:43" ht="12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</row>
    <row r="961" spans="1:43" ht="12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</row>
    <row r="962" spans="1:43" ht="12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</row>
    <row r="963" spans="1:43" ht="12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</row>
    <row r="964" spans="1:43" ht="12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</row>
    <row r="965" spans="1:43" ht="12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</row>
    <row r="966" spans="1:43" ht="12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</row>
    <row r="967" spans="1:43" ht="12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</row>
    <row r="968" spans="1:43" ht="12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</row>
    <row r="969" spans="1:43" ht="12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</row>
    <row r="970" spans="1:43" ht="12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</row>
    <row r="971" spans="1:43" ht="12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</row>
    <row r="972" spans="1:43" ht="12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</row>
    <row r="973" spans="1:43" ht="12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</row>
    <row r="974" spans="1:43" ht="12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</row>
    <row r="975" spans="1:43" ht="12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</row>
    <row r="976" spans="1:43" ht="12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</row>
    <row r="977" spans="1:43" ht="12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</row>
    <row r="978" spans="1:43" ht="12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</row>
    <row r="979" spans="1:43" ht="12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</row>
    <row r="980" spans="1:43" ht="12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</row>
    <row r="981" spans="1:43" ht="12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</row>
    <row r="982" spans="1:43" ht="12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</row>
    <row r="983" spans="1:43" ht="12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</row>
    <row r="984" spans="1:43" ht="12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</row>
    <row r="985" spans="1:43" ht="12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</row>
    <row r="986" spans="1:43" ht="12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</row>
    <row r="987" spans="1:43" ht="12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</row>
    <row r="988" spans="1:43" ht="12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</row>
    <row r="989" spans="1:43" ht="12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</row>
    <row r="990" spans="1:43" ht="12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</row>
    <row r="991" spans="1:43" ht="12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</row>
    <row r="992" spans="1:43" ht="12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</row>
    <row r="993" spans="1:43" ht="12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</row>
    <row r="994" spans="1:43" ht="12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</row>
    <row r="995" spans="1:43" ht="12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</row>
    <row r="996" spans="1:43" ht="12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</row>
    <row r="997" spans="1:43" ht="12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</row>
    <row r="998" spans="1:43" ht="12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</row>
    <row r="999" spans="1:43" ht="12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</row>
    <row r="1000" spans="1:43" ht="12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</row>
  </sheetData>
  <mergeCells count="2">
    <mergeCell ref="E5:H5"/>
    <mergeCell ref="J5:M5"/>
  </mergeCell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>
          <x14:formula1>
            <xm:f>oiFNO!$D$3:$D$22</xm:f>
          </x14:formula1>
          <xm:sqref>J2</xm:sqref>
        </x14:dataValidation>
        <x14:dataValidation type="list" allowBlank="1" showErrorMessage="1">
          <x14:formula1>
            <xm:f>oiFNO!$B$3:$B$5</xm:f>
          </x14:formula1>
          <xm:sqref>H2</xm:sqref>
        </x14:dataValidation>
        <x14:dataValidation type="list" allowBlank="1" showErrorMessage="1">
          <x14:formula1>
            <xm:f>oiFNO!$A$2:$A$4</xm:f>
          </x14:formula1>
          <xm:sqref>D2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000"/>
  <sheetViews>
    <sheetView showGridLines="0" tabSelected="1" workbookViewId="0"/>
  </sheetViews>
  <sheetFormatPr defaultColWidth="14.44140625" defaultRowHeight="15" customHeight="1"/>
  <cols>
    <col min="1" max="1" width="13.6640625" customWidth="1"/>
    <col min="2" max="2" width="9.44140625" customWidth="1"/>
    <col min="3" max="3" width="3" customWidth="1"/>
    <col min="4" max="4" width="9.109375" customWidth="1"/>
    <col min="5" max="5" width="18.5546875" customWidth="1"/>
    <col min="6" max="6" width="18.6640625" customWidth="1"/>
    <col min="7" max="7" width="9.109375" customWidth="1"/>
    <col min="8" max="8" width="11.6640625" customWidth="1"/>
    <col min="9" max="9" width="7" customWidth="1"/>
    <col min="10" max="10" width="12" customWidth="1"/>
    <col min="11" max="11" width="12.5546875" customWidth="1"/>
    <col min="12" max="12" width="12" customWidth="1"/>
    <col min="13" max="16" width="9.109375" customWidth="1"/>
    <col min="17" max="17" width="10.33203125" customWidth="1"/>
    <col min="18" max="32" width="9.109375" customWidth="1"/>
  </cols>
  <sheetData>
    <row r="1" spans="1:32" ht="12.75" customHeight="1">
      <c r="A1" s="76" t="s">
        <v>241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</row>
    <row r="2" spans="1:32" ht="12.75" customHeight="1">
      <c r="A2" s="78" t="s">
        <v>242</v>
      </c>
      <c r="B2" s="77"/>
      <c r="C2" s="79"/>
      <c r="D2" s="77"/>
      <c r="E2" s="77"/>
      <c r="F2" s="80"/>
      <c r="G2" s="81"/>
      <c r="H2" s="81"/>
      <c r="I2" s="81"/>
      <c r="J2" s="81"/>
      <c r="K2" s="81"/>
      <c r="L2" s="81"/>
      <c r="M2" s="81"/>
      <c r="N2" s="81"/>
      <c r="O2" s="81"/>
      <c r="P2" s="81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</row>
    <row r="3" spans="1:32" ht="12.75" customHeight="1">
      <c r="A3" s="78"/>
      <c r="B3" s="78"/>
      <c r="C3" s="78"/>
      <c r="D3" s="78"/>
      <c r="E3" s="78"/>
      <c r="F3" s="78"/>
      <c r="G3" s="78"/>
      <c r="H3" s="77" t="s">
        <v>243</v>
      </c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</row>
    <row r="4" spans="1:32" ht="12.75" customHeight="1">
      <c r="A4" s="82" t="s">
        <v>244</v>
      </c>
      <c r="B4" s="83"/>
      <c r="C4" s="79"/>
      <c r="D4" s="84"/>
      <c r="E4" s="85" t="s">
        <v>245</v>
      </c>
      <c r="F4" s="86" t="s">
        <v>246</v>
      </c>
      <c r="G4" s="77"/>
      <c r="H4" s="87" t="s">
        <v>227</v>
      </c>
      <c r="I4" s="88" t="s">
        <v>228</v>
      </c>
      <c r="J4" s="88" t="s">
        <v>229</v>
      </c>
      <c r="K4" s="88" t="s">
        <v>230</v>
      </c>
      <c r="L4" s="89" t="s">
        <v>247</v>
      </c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</row>
    <row r="5" spans="1:32" ht="12.75" customHeight="1">
      <c r="A5" s="90" t="s">
        <v>197</v>
      </c>
      <c r="B5" s="91">
        <v>22419.95</v>
      </c>
      <c r="C5" s="77"/>
      <c r="D5" s="92" t="s">
        <v>248</v>
      </c>
      <c r="E5" s="93">
        <f>IF(ISBLANK('Black-Scholes'!DividendYield),'Black-Scholes'!SpotPrice*J5-('Black-Scholes'!StrikePrice*EXP(-'Black-Scholes'!RiskFreeRate*'Black-Scholes'!TimeToMaturity))*J5, EXP(-'Black-Scholes'!DividendYield * 'Black-Scholes'!TimeToMaturity) * ('Black-Scholes'!SpotPrice * J5) - ('Black-Scholes'!StrikePrice * EXP(-'Black-Scholes'!RiskFreeRate * 'Black-Scholes'!TimeToMaturity) * K5))</f>
        <v>11415.200336672271</v>
      </c>
      <c r="F5" s="94">
        <f>IF(ISBLANK('Black-Scholes'!DividendYield),EXP(-'Black-Scholes'!RiskFreeRate * 'Black-Scholes'!TimeToMaturity) * 'Black-Scholes'!StrikePrice * (1 - K5) - 'Black-Scholes'!SpotPrice * (1 - J5),EXP(-'Black-Scholes'!RiskFreeRate * 'Black-Scholes'!TimeToMaturity) * 'Black-Scholes'!StrikePrice * NORMSDIST(-I5) - EXP(-'Black-Scholes'!DividendYield * 'Black-Scholes'!TimeToMaturity) * 'Black-Scholes'!SpotPrice * NORMSDIST(-H5))</f>
        <v>9777.3812355278096</v>
      </c>
      <c r="G5" s="77"/>
      <c r="H5" s="95">
        <f>IF(ISBLANK('Black-Scholes'!DividendYield),LN('Black-Scholes'!SpotPrice/B6)+(('Black-Scholes'!RiskFreeRate + (0.5*('Black-Scholes'!sigma^2)))*'Black-Scholes'!TimeToMaturity),LN('Black-Scholes'!SpotPrice/B6)+(('Black-Scholes'!RiskFreeRate -'Black-Scholes'!DividendYield+ (0.5*('Black-Scholes'!sigma^2)))*'Black-Scholes'!TimeToMaturity))/('Black-Scholes'!sigma*'Black-Scholes'!TimeToMaturity^0.5)</f>
        <v>0.72911484570497287</v>
      </c>
      <c r="I5" s="96">
        <f>H5-'Black-Scholes'!sigma*'Black-Scholes'!TimeToMaturity^0.5</f>
        <v>-0.61424832946805485</v>
      </c>
      <c r="J5" s="96">
        <f t="shared" ref="J5:K5" si="0">NORMSDIST(H5)</f>
        <v>0.7670342928985977</v>
      </c>
      <c r="K5" s="96">
        <f t="shared" si="0"/>
        <v>0.26952562059558532</v>
      </c>
      <c r="L5" s="97">
        <f>1/(2*PI())^0.5*(EXP(-(H5^2)/2))</f>
        <v>0.30582483905376151</v>
      </c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</row>
    <row r="6" spans="1:32" ht="12.75" customHeight="1">
      <c r="A6" s="90" t="s">
        <v>249</v>
      </c>
      <c r="B6" s="98">
        <v>22450</v>
      </c>
      <c r="C6" s="77"/>
      <c r="D6" s="92" t="s">
        <v>250</v>
      </c>
      <c r="E6" s="93">
        <f>J5*EXP(-'Black-Scholes'!DividendYield * 'Black-Scholes'!TimeToMaturity)</f>
        <v>0.7546319454620567</v>
      </c>
      <c r="F6" s="94">
        <f>(J5 - 1) * EXP(-'Black-Scholes'!DividendYield * 'Black-Scholes'!TimeToMaturity)</f>
        <v>-0.22919883296419472</v>
      </c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</row>
    <row r="7" spans="1:32" ht="12.75" customHeight="1">
      <c r="A7" s="90" t="s">
        <v>251</v>
      </c>
      <c r="B7" s="99">
        <v>6.92</v>
      </c>
      <c r="C7" s="77"/>
      <c r="D7" s="92" t="s">
        <v>252</v>
      </c>
      <c r="E7" s="93">
        <f>(L5 * EXP(-'Black-Scholes'!DividendYield * 'Black-Scholes'!TimeToMaturity)) / ('Black-Scholes'!SpotPrice * 'Black-Scholes'!sigma * ('Black-Scholes'!TimeToMaturity ^ (1 / 2)))</f>
        <v>9.9899906577327677E-6</v>
      </c>
      <c r="F7" s="94">
        <f t="shared" ref="F7:F8" si="1">E7</f>
        <v>9.9899906577327677E-6</v>
      </c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</row>
    <row r="8" spans="1:32" ht="12.75" customHeight="1">
      <c r="A8" s="90" t="s">
        <v>253</v>
      </c>
      <c r="B8" s="91">
        <v>11.4777</v>
      </c>
      <c r="C8" s="77"/>
      <c r="D8" s="92" t="s">
        <v>254</v>
      </c>
      <c r="E8" s="93">
        <f>'Black-Scholes'!SpotPrice * ('Black-Scholes'!TimeToMaturity ^ (1 / 2)) * L5 * EXP(-'Black-Scholes'!DividendYield * 'Black-Scholes'!TimeToMaturity)</f>
        <v>789.52588025055081</v>
      </c>
      <c r="F8" s="94">
        <f t="shared" si="1"/>
        <v>789.52588025055081</v>
      </c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</row>
    <row r="9" spans="1:32" ht="12.75" customHeight="1">
      <c r="A9" s="90" t="s">
        <v>255</v>
      </c>
      <c r="B9" s="100">
        <v>1.19</v>
      </c>
      <c r="C9" s="77"/>
      <c r="D9" s="101" t="s">
        <v>256</v>
      </c>
      <c r="E9" s="102">
        <f>-('Black-Scholes'!SpotPrice * L5 * 'Black-Scholes'!sigma * EXP(-'Black-Scholes'!DividendYield * 'Black-Scholes'!TimeToMaturity)) / (2 * ('Black-Scholes'!TimeToMaturity ^ (1 / 2))) + ('Black-Scholes'!DividendYield * 'Black-Scholes'!SpotPrice * J5 * EXP(-'Black-Scholes'!DividendYield * 'Black-Scholes'!TimeToMaturity)) - ('Black-Scholes'!RiskFreeRate * 'Black-Scholes'!StrikePrice * EXP(-'Black-Scholes'!RiskFreeRate * 'Black-Scholes'!TimeToMaturity) * K5)</f>
        <v>-348712.45139801013</v>
      </c>
      <c r="F9" s="103">
        <f>-('Black-Scholes'!SpotPrice * L5 * 'Black-Scholes'!sigma * EXP(-'Black-Scholes'!DividendYield * 'Black-Scholes'!TimeToMaturity)) / (2 * ('Black-Scholes'!TimeToMaturity ^ (1 / 2))) - ('Black-Scholes'!DividendYield * 'Black-Scholes'!SpotPrice * NORMSDIST(-H5) * EXP(-'Black-Scholes'!DividendYield * 'Black-Scholes'!TimeToMaturity)) + ('Black-Scholes'!RiskFreeRate * 'Black-Scholes'!StrikePrice * EXP(-'Black-Scholes'!RiskFreeRate * 'Black-Scholes'!TimeToMaturity) * NORMSDIST(-I5))</f>
        <v>-233657.04636567394</v>
      </c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</row>
    <row r="10" spans="1:32" ht="12.75" customHeight="1">
      <c r="A10" s="104" t="s">
        <v>257</v>
      </c>
      <c r="B10" s="105">
        <f>5/365</f>
        <v>1.3698630136986301E-2</v>
      </c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</row>
    <row r="11" spans="1:32" ht="12.75" customHeight="1">
      <c r="A11" s="77"/>
      <c r="B11" s="106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</row>
    <row r="12" spans="1:32" ht="12.75" customHeight="1">
      <c r="A12" s="78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</row>
    <row r="13" spans="1:32" ht="12.75" customHeight="1">
      <c r="A13" s="107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</row>
    <row r="14" spans="1:32" ht="12.75" customHeight="1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</row>
    <row r="15" spans="1:32" ht="12.75" customHeight="1">
      <c r="A15" s="109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</row>
    <row r="16" spans="1:32" ht="12.75" customHeight="1">
      <c r="A16" s="109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</row>
    <row r="17" spans="1:32" ht="12.75" customHeight="1">
      <c r="A17" s="109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</row>
    <row r="18" spans="1:32" ht="12.75" customHeight="1">
      <c r="A18" s="109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</row>
    <row r="19" spans="1:32" ht="12.75" customHeight="1">
      <c r="A19" s="7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</row>
    <row r="20" spans="1:32" ht="12.75" customHeight="1">
      <c r="A20" s="7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</row>
    <row r="21" spans="1:32" ht="12.75" customHeight="1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</row>
    <row r="22" spans="1:32" ht="12.75" customHeight="1">
      <c r="A22" s="7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</row>
    <row r="23" spans="1:32" ht="12.75" customHeight="1">
      <c r="A23" s="7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</row>
    <row r="24" spans="1:32" ht="12.75" customHeight="1">
      <c r="A24" s="7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</row>
    <row r="25" spans="1:32" ht="12.75" customHeight="1">
      <c r="A25" s="7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</row>
    <row r="26" spans="1:32" ht="12.75" customHeight="1">
      <c r="A26" s="7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</row>
    <row r="27" spans="1:32" ht="12.75" customHeight="1">
      <c r="A27" s="7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</row>
    <row r="28" spans="1:32" ht="12.75" customHeight="1">
      <c r="A28" s="7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</row>
    <row r="29" spans="1:32" ht="12.75" customHeight="1">
      <c r="A29" s="77"/>
      <c r="B29" s="77"/>
      <c r="C29" s="77"/>
      <c r="D29" s="77"/>
      <c r="E29" s="77"/>
      <c r="F29" s="110"/>
      <c r="G29" s="110"/>
      <c r="H29" s="110"/>
      <c r="I29" s="110"/>
      <c r="J29" s="110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</row>
    <row r="30" spans="1:32" ht="12.75" customHeight="1">
      <c r="A30" s="77"/>
      <c r="B30" s="77"/>
      <c r="C30" s="77"/>
      <c r="D30" s="77"/>
      <c r="E30" s="77"/>
      <c r="F30" s="77"/>
      <c r="G30" s="77"/>
      <c r="H30" s="111"/>
      <c r="I30" s="111"/>
      <c r="J30" s="111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</row>
    <row r="31" spans="1:32" ht="12.75" customHeight="1">
      <c r="A31" s="77"/>
      <c r="B31" s="77"/>
      <c r="C31" s="77"/>
      <c r="D31" s="77"/>
      <c r="E31" s="77"/>
      <c r="F31" s="77"/>
      <c r="G31" s="77"/>
      <c r="H31" s="111"/>
      <c r="I31" s="111"/>
      <c r="J31" s="111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</row>
    <row r="32" spans="1:32" ht="12.75" customHeight="1">
      <c r="A32" s="77"/>
      <c r="B32" s="77"/>
      <c r="C32" s="77"/>
      <c r="D32" s="77"/>
      <c r="E32" s="77"/>
      <c r="F32" s="77"/>
      <c r="G32" s="112"/>
      <c r="H32" s="111"/>
      <c r="I32" s="111"/>
      <c r="J32" s="111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</row>
    <row r="33" spans="1:32" ht="12.75" customHeight="1">
      <c r="A33" s="77"/>
      <c r="B33" s="77"/>
      <c r="C33" s="77"/>
      <c r="D33" s="77"/>
      <c r="E33" s="77"/>
      <c r="F33" s="77"/>
      <c r="G33" s="112"/>
      <c r="H33" s="112"/>
      <c r="I33" s="77"/>
      <c r="J33" s="111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</row>
    <row r="34" spans="1:32" ht="12.75" customHeight="1">
      <c r="A34" s="77"/>
      <c r="B34" s="77"/>
      <c r="C34" s="77"/>
      <c r="D34" s="77"/>
      <c r="E34" s="77"/>
      <c r="F34" s="110"/>
      <c r="G34" s="110"/>
      <c r="H34" s="110"/>
      <c r="I34" s="110"/>
      <c r="J34" s="111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</row>
    <row r="35" spans="1:32" ht="12.75" customHeight="1">
      <c r="A35" s="77"/>
      <c r="B35" s="77"/>
      <c r="C35" s="77"/>
      <c r="D35" s="77"/>
      <c r="E35" s="77"/>
      <c r="F35" s="77"/>
      <c r="G35" s="77"/>
      <c r="H35" s="77"/>
      <c r="I35" s="77"/>
      <c r="J35" s="111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</row>
    <row r="36" spans="1:32" ht="12.75" customHeight="1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</row>
    <row r="37" spans="1:32" ht="12.75" customHeight="1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</row>
    <row r="38" spans="1:32" ht="12.75" customHeight="1">
      <c r="A38" s="77"/>
      <c r="B38" s="77"/>
      <c r="C38" s="77"/>
      <c r="D38" s="77"/>
      <c r="E38" s="77"/>
      <c r="F38" s="110"/>
      <c r="G38" s="110"/>
      <c r="H38" s="110"/>
      <c r="I38" s="110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</row>
    <row r="39" spans="1:32" ht="12.75" customHeight="1">
      <c r="A39" s="77"/>
      <c r="B39" s="77"/>
      <c r="C39" s="77"/>
      <c r="D39" s="77"/>
      <c r="E39" s="77"/>
      <c r="F39" s="77"/>
      <c r="G39" s="77"/>
      <c r="H39" s="111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</row>
    <row r="40" spans="1:32" ht="12.75" customHeight="1">
      <c r="A40" s="77"/>
      <c r="B40" s="77"/>
      <c r="C40" s="77"/>
      <c r="D40" s="77"/>
      <c r="E40" s="77"/>
      <c r="F40" s="77"/>
      <c r="G40" s="77"/>
      <c r="H40" s="111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2" ht="12.75" customHeight="1">
      <c r="A41" s="77"/>
      <c r="B41" s="77"/>
      <c r="C41" s="77"/>
      <c r="D41" s="77"/>
      <c r="E41" s="77"/>
      <c r="F41" s="77"/>
      <c r="G41" s="112"/>
      <c r="H41" s="111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2" ht="12.75" customHeight="1">
      <c r="A42" s="77"/>
      <c r="B42" s="77"/>
      <c r="C42" s="77"/>
      <c r="D42" s="77"/>
      <c r="E42" s="77"/>
      <c r="F42" s="77"/>
      <c r="G42" s="77"/>
      <c r="H42" s="111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2" ht="12.75" customHeight="1">
      <c r="A43" s="77"/>
      <c r="B43" s="77"/>
      <c r="C43" s="77"/>
      <c r="D43" s="77"/>
      <c r="E43" s="77"/>
      <c r="F43" s="110"/>
      <c r="G43" s="110"/>
      <c r="H43" s="113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2" ht="12.75" customHeight="1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2" ht="12.75" customHeight="1">
      <c r="A45" s="77"/>
      <c r="B45" s="77"/>
      <c r="C45" s="77"/>
      <c r="D45" s="77"/>
      <c r="E45" s="77"/>
      <c r="F45" s="110"/>
      <c r="G45" s="77"/>
      <c r="H45" s="114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</row>
    <row r="46" spans="1:32" ht="12.75" customHeight="1">
      <c r="A46" s="77"/>
      <c r="B46" s="77"/>
      <c r="C46" s="77"/>
      <c r="D46" s="77"/>
      <c r="E46" s="77"/>
      <c r="F46" s="110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</row>
    <row r="47" spans="1:32" ht="12.75" customHeight="1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</row>
    <row r="48" spans="1:32" ht="12.75" customHeight="1">
      <c r="A48" s="77"/>
      <c r="B48" s="77"/>
      <c r="C48" s="77"/>
      <c r="D48" s="77"/>
      <c r="E48" s="110"/>
      <c r="F48" s="110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</row>
    <row r="49" spans="1:32" ht="12.75" customHeight="1">
      <c r="A49" s="77"/>
      <c r="B49" s="77"/>
      <c r="C49" s="77"/>
      <c r="D49" s="77"/>
      <c r="E49" s="77"/>
      <c r="F49" s="110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</row>
    <row r="50" spans="1:32" ht="12.75" customHeight="1">
      <c r="A50" s="77"/>
      <c r="B50" s="77"/>
      <c r="C50" s="77"/>
      <c r="D50" s="77"/>
      <c r="E50" s="77"/>
      <c r="F50" s="110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</row>
    <row r="51" spans="1:32" ht="12.75" customHeight="1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</row>
    <row r="52" spans="1:32" ht="12.75" customHeight="1">
      <c r="A52" s="77"/>
      <c r="B52" s="77"/>
      <c r="C52" s="77"/>
      <c r="D52" s="77"/>
      <c r="E52" s="77"/>
      <c r="F52" s="110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</row>
    <row r="53" spans="1:32" ht="12.75" customHeight="1">
      <c r="A53" s="77"/>
      <c r="B53" s="77"/>
      <c r="C53" s="77"/>
      <c r="D53" s="77"/>
      <c r="E53" s="77"/>
      <c r="F53" s="110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</row>
    <row r="54" spans="1:32" ht="12.75" customHeight="1">
      <c r="A54" s="77"/>
      <c r="B54" s="77"/>
      <c r="C54" s="77"/>
      <c r="D54" s="77"/>
      <c r="E54" s="77"/>
      <c r="F54" s="110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</row>
    <row r="55" spans="1:32" ht="12.75" customHeight="1">
      <c r="A55" s="77"/>
      <c r="B55" s="77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</row>
    <row r="56" spans="1:32" ht="12.75" customHeight="1">
      <c r="A56" s="77"/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</row>
    <row r="57" spans="1:32" ht="12.75" customHeight="1">
      <c r="A57" s="77"/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</row>
    <row r="58" spans="1:32" ht="12.75" customHeight="1">
      <c r="A58" s="77"/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</row>
    <row r="59" spans="1:32" ht="12.75" customHeight="1">
      <c r="A59" s="77"/>
      <c r="B59" s="77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</row>
    <row r="60" spans="1:32" ht="12.75" customHeight="1">
      <c r="A60" s="77"/>
      <c r="B60" s="77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</row>
    <row r="61" spans="1:32" ht="12.75" customHeight="1">
      <c r="A61" s="77"/>
      <c r="B61" s="77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</row>
    <row r="62" spans="1:32" ht="12.75" customHeight="1">
      <c r="A62" s="77"/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</row>
    <row r="63" spans="1:32" ht="12.75" customHeight="1">
      <c r="A63" s="77"/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</row>
    <row r="64" spans="1:32" ht="12.75" customHeight="1">
      <c r="A64" s="77"/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</row>
    <row r="65" spans="1:32" ht="12.75" customHeight="1">
      <c r="A65" s="77"/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</row>
    <row r="66" spans="1:32" ht="12.75" customHeight="1">
      <c r="A66" s="77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</row>
    <row r="67" spans="1:32" ht="12.75" customHeight="1">
      <c r="A67" s="77"/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</row>
    <row r="68" spans="1:32" ht="12.75" customHeight="1">
      <c r="A68" s="77"/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</row>
    <row r="69" spans="1:32" ht="12.75" customHeight="1">
      <c r="A69" s="77"/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</row>
    <row r="70" spans="1:32" ht="12.75" customHeight="1">
      <c r="A70" s="77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</row>
    <row r="71" spans="1:32" ht="12.75" customHeight="1">
      <c r="A71" s="77"/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</row>
    <row r="72" spans="1:32" ht="12.75" customHeight="1">
      <c r="A72" s="77"/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</row>
    <row r="73" spans="1:32" ht="12.75" customHeight="1">
      <c r="A73" s="77"/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</row>
    <row r="74" spans="1:32" ht="12.75" customHeight="1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</row>
    <row r="75" spans="1:32" ht="12.75" customHeight="1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</row>
    <row r="76" spans="1:32" ht="12.75" customHeight="1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</row>
    <row r="77" spans="1:32" ht="12.75" customHeight="1">
      <c r="A77" s="77"/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</row>
    <row r="78" spans="1:32" ht="12.75" customHeight="1">
      <c r="A78" s="77"/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</row>
    <row r="79" spans="1:32" ht="12.75" customHeight="1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2.75" customHeight="1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2.75" customHeight="1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2.75" customHeight="1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2.75" customHeight="1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2.75" customHeight="1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2.75" customHeight="1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2.75" customHeight="1">
      <c r="A86" s="77"/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2.75" customHeight="1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2.75" customHeight="1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2.75" customHeight="1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2.75" customHeight="1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2.75" customHeight="1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2.75" customHeight="1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2.75" customHeight="1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2.75" customHeight="1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2.75" customHeight="1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2.75" customHeight="1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2.75" customHeight="1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2.75" customHeight="1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2.75" customHeight="1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2.75" customHeight="1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2.75" customHeight="1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2.75" customHeight="1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2.75" customHeight="1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2.75" customHeight="1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2.75" customHeight="1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2.75" customHeight="1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2.75" customHeight="1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2.75" customHeight="1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2.75" customHeight="1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2.75" customHeight="1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2.75" customHeight="1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2.75" customHeight="1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2.75" customHeight="1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2.75" customHeight="1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2.75" customHeight="1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2.75" customHeight="1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2.75" customHeight="1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2.75" customHeight="1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2.75" customHeight="1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2.75" customHeight="1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2.75" customHeight="1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2.75" customHeight="1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2.75" customHeight="1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2.75" customHeight="1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2.75" customHeight="1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2.75" customHeight="1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2.75" customHeight="1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2.75" customHeight="1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2.75" customHeight="1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2.75" customHeight="1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2.75" customHeight="1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2.75" customHeight="1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2.75" customHeight="1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2.75" customHeight="1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2.75" customHeight="1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2.75" customHeight="1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2.75" customHeight="1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2.75" customHeight="1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2.75" customHeight="1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2.75" customHeight="1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2.75" customHeight="1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2.75" customHeight="1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2.75" customHeight="1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2.75" customHeight="1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2.75" customHeight="1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2.75" customHeight="1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2.75" customHeight="1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2.75" customHeight="1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2.75" customHeight="1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2.75" customHeight="1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2.75" customHeight="1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2.75" customHeight="1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2.75" customHeight="1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2.75" customHeight="1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2.75" customHeight="1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2.75" customHeight="1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2.75" customHeight="1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2.75" customHeight="1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2.75" customHeight="1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2.75" customHeight="1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2.75" customHeight="1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2.75" customHeight="1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2.75" customHeight="1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2.75" customHeight="1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2.75" customHeight="1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2.75" customHeight="1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2.75" customHeight="1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2.75" customHeight="1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2.75" customHeight="1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2.75" customHeight="1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2.75" customHeight="1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2.75" customHeight="1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2.75" customHeight="1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2.75" customHeight="1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2.75" customHeight="1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2.75" customHeight="1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2.75" customHeight="1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2.75" customHeight="1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2.75" customHeight="1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2.75" customHeight="1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2.75" customHeight="1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2.75" customHeight="1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2.75" customHeight="1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2.75" customHeight="1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2.75" customHeight="1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2.75" customHeight="1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2.75" customHeight="1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2.75" customHeight="1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2.75" customHeight="1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2.75" customHeight="1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2.75" customHeight="1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2.75" customHeight="1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2.75" customHeight="1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2.75" customHeight="1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2.75" customHeight="1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2.75" customHeight="1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2.75" customHeight="1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2.75" customHeight="1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2.75" customHeight="1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2.75" customHeight="1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2.75" customHeight="1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2.75" customHeight="1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2.75" customHeight="1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2.75" customHeight="1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2.75" customHeight="1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2.75" customHeight="1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2.75" customHeight="1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2.75" customHeight="1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2.75" customHeight="1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2.75" customHeight="1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2.75" customHeight="1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2.75" customHeight="1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2.75" customHeight="1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2.75" customHeight="1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2.75" customHeight="1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2.75" customHeight="1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2.75" customHeight="1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2.75" customHeight="1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2.75" customHeight="1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2.75" customHeight="1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2.75" customHeight="1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2.75" customHeight="1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2.75" customHeight="1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2.75" customHeight="1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2.75" customHeight="1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2.75" customHeight="1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2.75" customHeight="1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2.75" customHeight="1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2.75" customHeight="1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2.75" customHeight="1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2.75" customHeight="1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2.75" customHeight="1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2.75" customHeight="1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2.75" customHeight="1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2.75" customHeight="1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2.75" customHeight="1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2.75" customHeight="1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2.75" customHeight="1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2.75" customHeight="1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2.75" customHeight="1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2.75" customHeight="1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2.75" customHeight="1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2.75" customHeight="1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2.75" customHeight="1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2.75" customHeight="1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2.75" customHeight="1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2.75" customHeight="1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2.75" customHeight="1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2.75" customHeight="1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2.75" customHeight="1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2.75" customHeight="1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2.75" customHeight="1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2.75" customHeight="1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2.75" customHeight="1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2.75" customHeight="1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2.75" customHeight="1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2.75" customHeight="1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2.75" customHeight="1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2.75" customHeight="1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2.75" customHeight="1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2.75" customHeight="1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2.75" customHeight="1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2.75" customHeight="1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2.75" customHeight="1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2.75" customHeight="1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2.75" customHeight="1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2.75" customHeight="1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2.75" customHeight="1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2.75" customHeight="1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2.75" customHeight="1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2.75" customHeight="1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2.75" customHeight="1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2.75" customHeight="1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2.75" customHeight="1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2.75" customHeight="1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2.75" customHeight="1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2.75" customHeight="1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2.75" customHeight="1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2.75" customHeight="1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2.75" customHeight="1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2.75" customHeight="1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2.75" customHeight="1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2.75" customHeight="1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2.75" customHeight="1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2.75" customHeight="1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2.75" customHeight="1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2.75" customHeight="1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2.75" customHeight="1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2.75" customHeight="1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2.75" customHeight="1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2.75" customHeight="1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2.75" customHeight="1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2.75" customHeight="1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2.75" customHeight="1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2.75" customHeight="1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2.75" customHeight="1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2.75" customHeight="1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2.75" customHeight="1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2.75" customHeight="1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2.75" customHeight="1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2.75" customHeight="1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2.75" customHeight="1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2.75" customHeight="1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2.75" customHeight="1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2.75" customHeight="1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2.75" customHeight="1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2.75" customHeight="1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2.75" customHeight="1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2.75" customHeight="1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2.75" customHeight="1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2.75" customHeight="1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2.75" customHeight="1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2.75" customHeight="1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2.75" customHeight="1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2.75" customHeight="1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2.75" customHeight="1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2.75" customHeight="1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2.75" customHeight="1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2.75" customHeight="1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2.75" customHeight="1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2.75" customHeight="1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2.75" customHeight="1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2.75" customHeight="1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2.75" customHeight="1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2.75" customHeight="1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2.75" customHeight="1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2.75" customHeight="1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2.75" customHeight="1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2.75" customHeight="1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2.75" customHeight="1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2.75" customHeight="1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2.75" customHeight="1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2.75" customHeight="1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2.75" customHeight="1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2.75" customHeight="1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2.75" customHeight="1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2.75" customHeight="1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2.75" customHeight="1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2.75" customHeight="1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2.75" customHeight="1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2.75" customHeight="1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2.75" customHeight="1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2.75" customHeight="1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2.75" customHeight="1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2.75" customHeight="1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2.75" customHeight="1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2.75" customHeight="1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2.75" customHeight="1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2.75" customHeight="1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2.75" customHeight="1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2.75" customHeight="1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2.75" customHeight="1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2.75" customHeight="1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2.75" customHeight="1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2.75" customHeight="1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2.75" customHeight="1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2.75" customHeight="1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2.75" customHeight="1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2.75" customHeight="1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2.75" customHeight="1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2.75" customHeight="1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2.75" customHeight="1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2.75" customHeight="1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2.75" customHeight="1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2.75" customHeight="1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2.75" customHeight="1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2.75" customHeight="1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2.75" customHeight="1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2.75" customHeight="1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2.75" customHeight="1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2.75" customHeight="1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2.75" customHeight="1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2.75" customHeight="1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2.75" customHeight="1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2.75" customHeight="1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2.75" customHeight="1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2.75" customHeight="1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2.75" customHeight="1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2.75" customHeight="1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2.75" customHeight="1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2.75" customHeight="1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2.75" customHeight="1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2.75" customHeight="1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2.75" customHeight="1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2.75" customHeight="1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2.75" customHeight="1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2.75" customHeight="1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2.75" customHeight="1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2.75" customHeight="1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2.75" customHeight="1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2.75" customHeight="1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2.75" customHeight="1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2.75" customHeight="1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2.75" customHeight="1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2.75" customHeight="1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2.75" customHeight="1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2.75" customHeight="1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2.75" customHeight="1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2.75" customHeight="1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2.75" customHeight="1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2.75" customHeight="1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2.75" customHeight="1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2.75" customHeight="1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2.75" customHeight="1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2.75" customHeight="1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2.75" customHeight="1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2.75" customHeight="1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2.75" customHeight="1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2.75" customHeight="1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2.75" customHeight="1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2.75" customHeight="1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2.75" customHeight="1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2.75" customHeight="1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2.75" customHeight="1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2.75" customHeight="1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2.75" customHeight="1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2.75" customHeight="1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2.75" customHeight="1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2.75" customHeight="1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2.75" customHeight="1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2.75" customHeight="1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2.75" customHeight="1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2.75" customHeight="1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2.75" customHeight="1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2.75" customHeight="1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2.75" customHeight="1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2.75" customHeight="1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2.75" customHeight="1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2.75" customHeight="1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2.75" customHeight="1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2.75" customHeight="1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2.75" customHeight="1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2.75" customHeight="1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2.75" customHeight="1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2.75" customHeight="1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2.75" customHeight="1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2.75" customHeight="1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2.75" customHeight="1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2.75" customHeight="1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2.75" customHeight="1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2.75" customHeight="1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2.75" customHeight="1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2.75" customHeight="1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2.75" customHeight="1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2.75" customHeight="1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2.75" customHeight="1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2.75" customHeight="1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2.75" customHeight="1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2.75" customHeight="1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2.75" customHeight="1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2.75" customHeight="1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2.75" customHeight="1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2.75" customHeight="1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2.75" customHeight="1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2.75" customHeight="1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2.75" customHeight="1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2.75" customHeight="1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2.75" customHeight="1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2.75" customHeight="1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2.75" customHeight="1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2.75" customHeight="1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2.75" customHeight="1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2.75" customHeight="1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2.75" customHeight="1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2.75" customHeight="1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2.75" customHeight="1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2.75" customHeight="1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2.75" customHeight="1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2.75" customHeight="1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2.75" customHeight="1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2.75" customHeight="1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2.75" customHeight="1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2.75" customHeight="1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2.75" customHeight="1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2.75" customHeight="1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2.75" customHeight="1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2.75" customHeight="1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2.75" customHeight="1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2.75" customHeight="1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2.75" customHeight="1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2.75" customHeight="1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2.75" customHeight="1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2.75" customHeight="1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2.75" customHeight="1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2.75" customHeight="1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2.75" customHeight="1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2.75" customHeight="1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2.75" customHeight="1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2.75" customHeight="1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2.75" customHeight="1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2.75" customHeight="1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2.75" customHeight="1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2.75" customHeight="1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2.75" customHeight="1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2.75" customHeight="1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2.75" customHeight="1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2.75" customHeight="1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2.75" customHeight="1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2.75" customHeight="1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2.75" customHeight="1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2.75" customHeight="1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2.75" customHeight="1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2.75" customHeight="1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2.75" customHeight="1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2.75" customHeight="1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2.75" customHeight="1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2.75" customHeight="1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2.75" customHeight="1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2.75" customHeight="1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2.75" customHeight="1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2.75" customHeight="1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2.75" customHeight="1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2.75" customHeight="1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2.75" customHeight="1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2.75" customHeight="1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2.75" customHeight="1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2.75" customHeight="1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2.75" customHeight="1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2.75" customHeight="1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2.75" customHeight="1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2.75" customHeight="1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2.75" customHeight="1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2.75" customHeight="1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2.75" customHeight="1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2.75" customHeight="1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2.75" customHeight="1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2.75" customHeight="1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2.75" customHeight="1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2.75" customHeight="1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2.75" customHeight="1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2.75" customHeight="1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2.75" customHeight="1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2.75" customHeight="1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2.75" customHeight="1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2.75" customHeight="1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2.75" customHeight="1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2.75" customHeight="1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2.75" customHeight="1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2.75" customHeight="1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2.75" customHeight="1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2.75" customHeight="1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2.75" customHeight="1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2.75" customHeight="1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2.75" customHeight="1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2.75" customHeight="1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2.75" customHeight="1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2.75" customHeight="1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2.75" customHeight="1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2.75" customHeight="1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2.75" customHeight="1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2.75" customHeight="1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2.75" customHeight="1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2.75" customHeight="1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2.75" customHeight="1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2.75" customHeight="1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2.75" customHeight="1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2.75" customHeight="1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2.75" customHeight="1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2.75" customHeight="1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2.75" customHeight="1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2.75" customHeight="1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2.75" customHeight="1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2.75" customHeight="1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2.75" customHeight="1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2.75" customHeight="1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2.75" customHeight="1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2.75" customHeight="1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2.75" customHeight="1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2.75" customHeight="1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2.75" customHeight="1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2.75" customHeight="1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2.75" customHeight="1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2.75" customHeight="1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2.75" customHeight="1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2.75" customHeight="1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2.75" customHeight="1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2.75" customHeight="1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2.75" customHeight="1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2.75" customHeight="1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2.75" customHeight="1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2.75" customHeight="1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2.75" customHeight="1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2.75" customHeight="1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2.75" customHeight="1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2.75" customHeight="1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2.75" customHeight="1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2.75" customHeight="1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2.75" customHeight="1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2.75" customHeight="1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2.75" customHeight="1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2.75" customHeight="1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2.75" customHeight="1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2.75" customHeight="1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2.75" customHeight="1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2.75" customHeight="1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2.75" customHeight="1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2.75" customHeight="1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2.75" customHeight="1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2.75" customHeight="1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2.75" customHeight="1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2.75" customHeight="1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2.75" customHeight="1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2.75" customHeight="1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2.75" customHeight="1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2.75" customHeight="1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2.75" customHeight="1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2.75" customHeight="1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2.75" customHeight="1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2.75" customHeight="1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2.75" customHeight="1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2.75" customHeight="1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2.75" customHeight="1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2.75" customHeight="1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2.75" customHeight="1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2.75" customHeight="1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2.75" customHeight="1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2.75" customHeight="1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2.75" customHeight="1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2.75" customHeight="1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2.75" customHeight="1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2.75" customHeight="1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2.75" customHeight="1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2.75" customHeight="1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2.75" customHeight="1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2.75" customHeight="1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2.75" customHeight="1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2.75" customHeight="1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2.75" customHeight="1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2.75" customHeight="1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2.75" customHeight="1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2.75" customHeight="1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2.75" customHeight="1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2.75" customHeight="1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2.75" customHeight="1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2.75" customHeight="1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2.75" customHeight="1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2.75" customHeight="1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2.75" customHeight="1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2.75" customHeight="1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2.75" customHeight="1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2.75" customHeight="1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2.75" customHeight="1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2.75" customHeight="1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2.75" customHeight="1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2.75" customHeight="1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2.75" customHeight="1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2.75" customHeight="1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2.75" customHeight="1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2.75" customHeight="1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2.75" customHeight="1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2.75" customHeight="1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2.75" customHeight="1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2.75" customHeight="1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2.75" customHeight="1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2.75" customHeight="1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2.75" customHeight="1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2.75" customHeight="1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2.75" customHeight="1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2.75" customHeight="1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2.75" customHeight="1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2.75" customHeight="1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2.75" customHeight="1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2.75" customHeight="1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2.75" customHeight="1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2.75" customHeight="1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2.75" customHeight="1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2.75" customHeight="1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2.75" customHeight="1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2.75" customHeight="1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2.75" customHeight="1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2.75" customHeight="1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2.75" customHeight="1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2.75" customHeight="1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2.75" customHeight="1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2.75" customHeight="1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2.75" customHeight="1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2.75" customHeight="1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2.75" customHeight="1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2.75" customHeight="1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2.75" customHeight="1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2.75" customHeight="1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2.75" customHeight="1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2.75" customHeight="1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2.75" customHeight="1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2.75" customHeight="1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2.75" customHeight="1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2.75" customHeight="1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2.75" customHeight="1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2.75" customHeight="1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2.75" customHeight="1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2.75" customHeight="1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2.75" customHeight="1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2.75" customHeight="1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2.75" customHeight="1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2.75" customHeight="1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2.75" customHeight="1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2.75" customHeight="1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2.75" customHeight="1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2.75" customHeight="1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2.75" customHeight="1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2.75" customHeight="1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2.75" customHeight="1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2.75" customHeight="1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2.75" customHeight="1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2.75" customHeight="1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2.75" customHeight="1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2.75" customHeight="1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2.75" customHeight="1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2.75" customHeight="1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2.75" customHeight="1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2.75" customHeight="1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2.75" customHeight="1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2.75" customHeight="1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2.75" customHeight="1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2.75" customHeight="1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2.75" customHeight="1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2.75" customHeight="1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2.75" customHeight="1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2.75" customHeight="1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2.75" customHeight="1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2.75" customHeight="1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2.75" customHeight="1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2.75" customHeight="1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2.75" customHeight="1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2.75" customHeight="1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2.75" customHeight="1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2.75" customHeight="1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2.75" customHeight="1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2.75" customHeight="1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2.75" customHeight="1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2.75" customHeight="1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2.75" customHeight="1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2.75" customHeight="1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2.75" customHeight="1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2.75" customHeight="1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2.75" customHeight="1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2.75" customHeight="1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2.75" customHeight="1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2.75" customHeight="1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2.75" customHeight="1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2.75" customHeight="1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2.75" customHeight="1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2.75" customHeight="1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2.75" customHeight="1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2.75" customHeight="1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2.75" customHeight="1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2.75" customHeight="1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2.75" customHeight="1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2.75" customHeight="1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2.75" customHeight="1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2.75" customHeight="1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2.75" customHeight="1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2.75" customHeight="1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2.75" customHeight="1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2.75" customHeight="1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2.75" customHeight="1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2.75" customHeight="1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2.75" customHeight="1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2.75" customHeight="1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2.75" customHeight="1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2.75" customHeight="1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2.75" customHeight="1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2.75" customHeight="1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2.75" customHeight="1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2.75" customHeight="1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2.75" customHeight="1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2.75" customHeight="1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2.75" customHeight="1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2.75" customHeight="1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2.75" customHeight="1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2.75" customHeight="1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2.75" customHeight="1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2.75" customHeight="1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2.75" customHeight="1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2.75" customHeight="1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2.75" customHeight="1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2.75" customHeight="1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2.75" customHeight="1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2.75" customHeight="1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2.75" customHeight="1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2.75" customHeight="1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2.75" customHeight="1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2.75" customHeight="1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2.75" customHeight="1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2.75" customHeight="1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2.75" customHeight="1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2.75" customHeight="1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2.75" customHeight="1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2.75" customHeight="1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2.75" customHeight="1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2.75" customHeight="1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2.75" customHeight="1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2.75" customHeight="1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2.75" customHeight="1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2.75" customHeight="1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2.75" customHeight="1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2.75" customHeight="1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2.75" customHeight="1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2.75" customHeight="1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2.75" customHeight="1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2.75" customHeight="1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2.75" customHeight="1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2.75" customHeight="1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2.75" customHeight="1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2.75" customHeight="1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2.75" customHeight="1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2.75" customHeight="1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2.75" customHeight="1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2.75" customHeight="1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2.75" customHeight="1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2.75" customHeight="1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2.75" customHeight="1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2.75" customHeight="1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2.75" customHeight="1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2.75" customHeight="1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2.75" customHeight="1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2.75" customHeight="1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2.75" customHeight="1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2.75" customHeight="1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2.75" customHeight="1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2.75" customHeight="1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2.75" customHeight="1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2.75" customHeight="1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2.75" customHeight="1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2.75" customHeight="1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2.75" customHeight="1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2.75" customHeight="1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2.75" customHeight="1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2.75" customHeight="1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2.75" customHeight="1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2.75" customHeight="1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2.75" customHeight="1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2.75" customHeight="1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2.75" customHeight="1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2.75" customHeight="1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2.75" customHeight="1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2.75" customHeight="1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2.75" customHeight="1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2.75" customHeight="1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2.75" customHeight="1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2.75" customHeight="1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2.75" customHeight="1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2.75" customHeight="1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2.75" customHeight="1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2.75" customHeight="1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2.75" customHeight="1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2.75" customHeight="1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2.75" customHeight="1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2.75" customHeight="1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2.75" customHeight="1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2.75" customHeight="1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2.75" customHeight="1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2.75" customHeight="1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2.75" customHeight="1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2.75" customHeight="1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2.75" customHeight="1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2.75" customHeight="1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2.75" customHeight="1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2.75" customHeight="1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2.75" customHeight="1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2.75" customHeight="1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2.75" customHeight="1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2.75" customHeight="1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2.75" customHeight="1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2.75" customHeight="1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2.75" customHeight="1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2.75" customHeight="1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2.75" customHeight="1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2.75" customHeight="1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2.75" customHeight="1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2.75" customHeight="1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2.75" customHeight="1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2.75" customHeight="1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2.75" customHeight="1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2.75" customHeight="1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2.75" customHeight="1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2.75" customHeight="1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2.75" customHeight="1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2.75" customHeight="1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2.75" customHeight="1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2.75" customHeight="1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2.75" customHeight="1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2.75" customHeight="1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2.75" customHeight="1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2.75" customHeight="1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2.75" customHeight="1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2.75" customHeight="1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2.75" customHeight="1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2.75" customHeight="1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2.75" customHeight="1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2.75" customHeight="1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2.75" customHeight="1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2.75" customHeight="1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2.75" customHeight="1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2.75" customHeight="1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2.75" customHeight="1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2.75" customHeight="1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2.75" customHeight="1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2.75" customHeight="1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2.75" customHeight="1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2.75" customHeight="1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2.75" customHeight="1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2.75" customHeight="1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2.75" customHeight="1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2.75" customHeight="1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2.75" customHeight="1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2.75" customHeight="1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2.75" customHeight="1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2.75" customHeight="1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2.75" customHeight="1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2.75" customHeight="1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2.75" customHeight="1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2.75" customHeight="1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2.75" customHeight="1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2.75" customHeight="1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2.75" customHeight="1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2.75" customHeight="1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2.75" customHeight="1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2.75" customHeight="1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2.75" customHeight="1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2.75" customHeight="1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2.75" customHeight="1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2.75" customHeight="1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2.75" customHeight="1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2.75" customHeight="1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2.75" customHeight="1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2.75" customHeight="1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2.75" customHeight="1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2.75" customHeight="1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2.75" customHeight="1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2.75" customHeight="1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2.75" customHeight="1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2.75" customHeight="1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2.75" customHeight="1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  <row r="935" spans="1:32" ht="12.75" customHeight="1">
      <c r="A935" s="77"/>
      <c r="B935" s="77"/>
      <c r="C935" s="77"/>
      <c r="D935" s="77"/>
      <c r="E935" s="77"/>
      <c r="F935" s="77"/>
      <c r="G935" s="77"/>
      <c r="H935" s="77"/>
      <c r="I935" s="77"/>
      <c r="J935" s="77"/>
      <c r="K935" s="77"/>
      <c r="L935" s="77"/>
      <c r="M935" s="77"/>
      <c r="N935" s="77"/>
      <c r="O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7"/>
      <c r="AD935" s="77"/>
      <c r="AE935" s="77"/>
      <c r="AF935" s="77"/>
    </row>
    <row r="936" spans="1:32" ht="12.75" customHeight="1">
      <c r="A936" s="77"/>
      <c r="B936" s="77"/>
      <c r="C936" s="77"/>
      <c r="D936" s="77"/>
      <c r="E936" s="77"/>
      <c r="F936" s="77"/>
      <c r="G936" s="77"/>
      <c r="H936" s="77"/>
      <c r="I936" s="77"/>
      <c r="J936" s="77"/>
      <c r="K936" s="77"/>
      <c r="L936" s="77"/>
      <c r="M936" s="77"/>
      <c r="N936" s="77"/>
      <c r="O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7"/>
      <c r="AD936" s="77"/>
      <c r="AE936" s="77"/>
      <c r="AF936" s="77"/>
    </row>
    <row r="937" spans="1:32" ht="12.75" customHeight="1">
      <c r="A937" s="77"/>
      <c r="B937" s="77"/>
      <c r="C937" s="77"/>
      <c r="D937" s="77"/>
      <c r="E937" s="77"/>
      <c r="F937" s="77"/>
      <c r="G937" s="77"/>
      <c r="H937" s="77"/>
      <c r="I937" s="77"/>
      <c r="J937" s="77"/>
      <c r="K937" s="77"/>
      <c r="L937" s="77"/>
      <c r="M937" s="77"/>
      <c r="N937" s="77"/>
      <c r="O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7"/>
      <c r="AD937" s="77"/>
      <c r="AE937" s="77"/>
      <c r="AF937" s="77"/>
    </row>
    <row r="938" spans="1:32" ht="12.75" customHeight="1">
      <c r="A938" s="77"/>
      <c r="B938" s="77"/>
      <c r="C938" s="77"/>
      <c r="D938" s="77"/>
      <c r="E938" s="77"/>
      <c r="F938" s="77"/>
      <c r="G938" s="77"/>
      <c r="H938" s="77"/>
      <c r="I938" s="77"/>
      <c r="J938" s="77"/>
      <c r="K938" s="77"/>
      <c r="L938" s="77"/>
      <c r="M938" s="77"/>
      <c r="N938" s="77"/>
      <c r="O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7"/>
      <c r="AD938" s="77"/>
      <c r="AE938" s="77"/>
      <c r="AF938" s="77"/>
    </row>
    <row r="939" spans="1:32" ht="12.75" customHeight="1">
      <c r="A939" s="77"/>
      <c r="B939" s="77"/>
      <c r="C939" s="77"/>
      <c r="D939" s="77"/>
      <c r="E939" s="77"/>
      <c r="F939" s="77"/>
      <c r="G939" s="77"/>
      <c r="H939" s="77"/>
      <c r="I939" s="77"/>
      <c r="J939" s="77"/>
      <c r="K939" s="77"/>
      <c r="L939" s="77"/>
      <c r="M939" s="77"/>
      <c r="N939" s="77"/>
      <c r="O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7"/>
      <c r="AD939" s="77"/>
      <c r="AE939" s="77"/>
      <c r="AF939" s="77"/>
    </row>
    <row r="940" spans="1:32" ht="12.75" customHeight="1">
      <c r="A940" s="77"/>
      <c r="B940" s="77"/>
      <c r="C940" s="77"/>
      <c r="D940" s="77"/>
      <c r="E940" s="77"/>
      <c r="F940" s="77"/>
      <c r="G940" s="77"/>
      <c r="H940" s="77"/>
      <c r="I940" s="77"/>
      <c r="J940" s="77"/>
      <c r="K940" s="77"/>
      <c r="L940" s="77"/>
      <c r="M940" s="77"/>
      <c r="N940" s="77"/>
      <c r="O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7"/>
      <c r="AD940" s="77"/>
      <c r="AE940" s="77"/>
      <c r="AF940" s="77"/>
    </row>
    <row r="941" spans="1:32" ht="12.75" customHeight="1">
      <c r="A941" s="77"/>
      <c r="B941" s="77"/>
      <c r="C941" s="77"/>
      <c r="D941" s="77"/>
      <c r="E941" s="77"/>
      <c r="F941" s="77"/>
      <c r="G941" s="77"/>
      <c r="H941" s="77"/>
      <c r="I941" s="77"/>
      <c r="J941" s="77"/>
      <c r="K941" s="77"/>
      <c r="L941" s="77"/>
      <c r="M941" s="77"/>
      <c r="N941" s="77"/>
      <c r="O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7"/>
      <c r="AD941" s="77"/>
      <c r="AE941" s="77"/>
      <c r="AF941" s="77"/>
    </row>
    <row r="942" spans="1:32" ht="12.75" customHeight="1">
      <c r="A942" s="77"/>
      <c r="B942" s="77"/>
      <c r="C942" s="77"/>
      <c r="D942" s="77"/>
      <c r="E942" s="77"/>
      <c r="F942" s="77"/>
      <c r="G942" s="77"/>
      <c r="H942" s="77"/>
      <c r="I942" s="77"/>
      <c r="J942" s="77"/>
      <c r="K942" s="77"/>
      <c r="L942" s="77"/>
      <c r="M942" s="77"/>
      <c r="N942" s="77"/>
      <c r="O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7"/>
      <c r="AD942" s="77"/>
      <c r="AE942" s="77"/>
      <c r="AF942" s="77"/>
    </row>
    <row r="943" spans="1:32" ht="12.75" customHeight="1">
      <c r="A943" s="77"/>
      <c r="B943" s="77"/>
      <c r="C943" s="77"/>
      <c r="D943" s="77"/>
      <c r="E943" s="77"/>
      <c r="F943" s="77"/>
      <c r="G943" s="77"/>
      <c r="H943" s="77"/>
      <c r="I943" s="77"/>
      <c r="J943" s="77"/>
      <c r="K943" s="77"/>
      <c r="L943" s="77"/>
      <c r="M943" s="77"/>
      <c r="N943" s="77"/>
      <c r="O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7"/>
      <c r="AD943" s="77"/>
      <c r="AE943" s="77"/>
      <c r="AF943" s="77"/>
    </row>
    <row r="944" spans="1:32" ht="12.75" customHeight="1">
      <c r="A944" s="77"/>
      <c r="B944" s="77"/>
      <c r="C944" s="77"/>
      <c r="D944" s="77"/>
      <c r="E944" s="77"/>
      <c r="F944" s="77"/>
      <c r="G944" s="77"/>
      <c r="H944" s="77"/>
      <c r="I944" s="77"/>
      <c r="J944" s="77"/>
      <c r="K944" s="77"/>
      <c r="L944" s="77"/>
      <c r="M944" s="77"/>
      <c r="N944" s="77"/>
      <c r="O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7"/>
      <c r="AD944" s="77"/>
      <c r="AE944" s="77"/>
      <c r="AF944" s="77"/>
    </row>
    <row r="945" spans="1:32" ht="12.75" customHeight="1">
      <c r="A945" s="77"/>
      <c r="B945" s="77"/>
      <c r="C945" s="77"/>
      <c r="D945" s="77"/>
      <c r="E945" s="77"/>
      <c r="F945" s="77"/>
      <c r="G945" s="77"/>
      <c r="H945" s="77"/>
      <c r="I945" s="77"/>
      <c r="J945" s="77"/>
      <c r="K945" s="77"/>
      <c r="L945" s="77"/>
      <c r="M945" s="77"/>
      <c r="N945" s="77"/>
      <c r="O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7"/>
      <c r="AD945" s="77"/>
      <c r="AE945" s="77"/>
      <c r="AF945" s="77"/>
    </row>
    <row r="946" spans="1:32" ht="12.75" customHeight="1">
      <c r="A946" s="77"/>
      <c r="B946" s="77"/>
      <c r="C946" s="77"/>
      <c r="D946" s="77"/>
      <c r="E946" s="77"/>
      <c r="F946" s="77"/>
      <c r="G946" s="77"/>
      <c r="H946" s="77"/>
      <c r="I946" s="77"/>
      <c r="J946" s="77"/>
      <c r="K946" s="77"/>
      <c r="L946" s="77"/>
      <c r="M946" s="77"/>
      <c r="N946" s="77"/>
      <c r="O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7"/>
      <c r="AD946" s="77"/>
      <c r="AE946" s="77"/>
      <c r="AF946" s="77"/>
    </row>
    <row r="947" spans="1:32" ht="12.75" customHeight="1">
      <c r="A947" s="77"/>
      <c r="B947" s="77"/>
      <c r="C947" s="77"/>
      <c r="D947" s="77"/>
      <c r="E947" s="77"/>
      <c r="F947" s="77"/>
      <c r="G947" s="77"/>
      <c r="H947" s="77"/>
      <c r="I947" s="77"/>
      <c r="J947" s="77"/>
      <c r="K947" s="77"/>
      <c r="L947" s="77"/>
      <c r="M947" s="77"/>
      <c r="N947" s="77"/>
      <c r="O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7"/>
      <c r="AD947" s="77"/>
      <c r="AE947" s="77"/>
      <c r="AF947" s="77"/>
    </row>
    <row r="948" spans="1:32" ht="12.75" customHeight="1">
      <c r="A948" s="77"/>
      <c r="B948" s="77"/>
      <c r="C948" s="77"/>
      <c r="D948" s="77"/>
      <c r="E948" s="77"/>
      <c r="F948" s="77"/>
      <c r="G948" s="77"/>
      <c r="H948" s="77"/>
      <c r="I948" s="77"/>
      <c r="J948" s="77"/>
      <c r="K948" s="77"/>
      <c r="L948" s="77"/>
      <c r="M948" s="77"/>
      <c r="N948" s="77"/>
      <c r="O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7"/>
      <c r="AD948" s="77"/>
      <c r="AE948" s="77"/>
      <c r="AF948" s="77"/>
    </row>
    <row r="949" spans="1:32" ht="12.75" customHeight="1">
      <c r="A949" s="77"/>
      <c r="B949" s="77"/>
      <c r="C949" s="77"/>
      <c r="D949" s="77"/>
      <c r="E949" s="77"/>
      <c r="F949" s="77"/>
      <c r="G949" s="77"/>
      <c r="H949" s="77"/>
      <c r="I949" s="77"/>
      <c r="J949" s="77"/>
      <c r="K949" s="77"/>
      <c r="L949" s="77"/>
      <c r="M949" s="77"/>
      <c r="N949" s="77"/>
      <c r="O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7"/>
      <c r="AD949" s="77"/>
      <c r="AE949" s="77"/>
      <c r="AF949" s="77"/>
    </row>
    <row r="950" spans="1:32" ht="12.75" customHeight="1">
      <c r="A950" s="77"/>
      <c r="B950" s="77"/>
      <c r="C950" s="77"/>
      <c r="D950" s="77"/>
      <c r="E950" s="77"/>
      <c r="F950" s="77"/>
      <c r="G950" s="77"/>
      <c r="H950" s="77"/>
      <c r="I950" s="77"/>
      <c r="J950" s="77"/>
      <c r="K950" s="77"/>
      <c r="L950" s="77"/>
      <c r="M950" s="77"/>
      <c r="N950" s="77"/>
      <c r="O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7"/>
      <c r="AD950" s="77"/>
      <c r="AE950" s="77"/>
      <c r="AF950" s="77"/>
    </row>
    <row r="951" spans="1:32" ht="12.75" customHeight="1">
      <c r="A951" s="77"/>
      <c r="B951" s="77"/>
      <c r="C951" s="77"/>
      <c r="D951" s="77"/>
      <c r="E951" s="77"/>
      <c r="F951" s="77"/>
      <c r="G951" s="77"/>
      <c r="H951" s="77"/>
      <c r="I951" s="77"/>
      <c r="J951" s="77"/>
      <c r="K951" s="77"/>
      <c r="L951" s="77"/>
      <c r="M951" s="77"/>
      <c r="N951" s="77"/>
      <c r="O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7"/>
      <c r="AD951" s="77"/>
      <c r="AE951" s="77"/>
      <c r="AF951" s="77"/>
    </row>
    <row r="952" spans="1:32" ht="12.75" customHeight="1">
      <c r="A952" s="77"/>
      <c r="B952" s="77"/>
      <c r="C952" s="77"/>
      <c r="D952" s="77"/>
      <c r="E952" s="77"/>
      <c r="F952" s="77"/>
      <c r="G952" s="77"/>
      <c r="H952" s="77"/>
      <c r="I952" s="77"/>
      <c r="J952" s="77"/>
      <c r="K952" s="77"/>
      <c r="L952" s="77"/>
      <c r="M952" s="77"/>
      <c r="N952" s="77"/>
      <c r="O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  <c r="AA952" s="77"/>
      <c r="AB952" s="77"/>
      <c r="AC952" s="77"/>
      <c r="AD952" s="77"/>
      <c r="AE952" s="77"/>
      <c r="AF952" s="77"/>
    </row>
    <row r="953" spans="1:32" ht="12.75" customHeight="1">
      <c r="A953" s="77"/>
      <c r="B953" s="77"/>
      <c r="C953" s="77"/>
      <c r="D953" s="77"/>
      <c r="E953" s="77"/>
      <c r="F953" s="77"/>
      <c r="G953" s="77"/>
      <c r="H953" s="77"/>
      <c r="I953" s="77"/>
      <c r="J953" s="77"/>
      <c r="K953" s="77"/>
      <c r="L953" s="77"/>
      <c r="M953" s="77"/>
      <c r="N953" s="77"/>
      <c r="O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7"/>
      <c r="AD953" s="77"/>
      <c r="AE953" s="77"/>
      <c r="AF953" s="77"/>
    </row>
    <row r="954" spans="1:32" ht="12.75" customHeight="1">
      <c r="A954" s="77"/>
      <c r="B954" s="77"/>
      <c r="C954" s="77"/>
      <c r="D954" s="77"/>
      <c r="E954" s="77"/>
      <c r="F954" s="77"/>
      <c r="G954" s="77"/>
      <c r="H954" s="77"/>
      <c r="I954" s="77"/>
      <c r="J954" s="77"/>
      <c r="K954" s="77"/>
      <c r="L954" s="77"/>
      <c r="M954" s="77"/>
      <c r="N954" s="77"/>
      <c r="O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7"/>
      <c r="AD954" s="77"/>
      <c r="AE954" s="77"/>
      <c r="AF954" s="77"/>
    </row>
    <row r="955" spans="1:32" ht="12.75" customHeight="1">
      <c r="A955" s="77"/>
      <c r="B955" s="77"/>
      <c r="C955" s="77"/>
      <c r="D955" s="77"/>
      <c r="E955" s="77"/>
      <c r="F955" s="77"/>
      <c r="G955" s="77"/>
      <c r="H955" s="77"/>
      <c r="I955" s="77"/>
      <c r="J955" s="77"/>
      <c r="K955" s="77"/>
      <c r="L955" s="77"/>
      <c r="M955" s="77"/>
      <c r="N955" s="77"/>
      <c r="O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7"/>
      <c r="AD955" s="77"/>
      <c r="AE955" s="77"/>
      <c r="AF955" s="77"/>
    </row>
    <row r="956" spans="1:32" ht="12.75" customHeight="1">
      <c r="A956" s="77"/>
      <c r="B956" s="77"/>
      <c r="C956" s="77"/>
      <c r="D956" s="77"/>
      <c r="E956" s="77"/>
      <c r="F956" s="77"/>
      <c r="G956" s="77"/>
      <c r="H956" s="77"/>
      <c r="I956" s="77"/>
      <c r="J956" s="77"/>
      <c r="K956" s="77"/>
      <c r="L956" s="77"/>
      <c r="M956" s="77"/>
      <c r="N956" s="77"/>
      <c r="O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7"/>
      <c r="AD956" s="77"/>
      <c r="AE956" s="77"/>
      <c r="AF956" s="77"/>
    </row>
    <row r="957" spans="1:32" ht="12.75" customHeight="1">
      <c r="A957" s="77"/>
      <c r="B957" s="77"/>
      <c r="C957" s="77"/>
      <c r="D957" s="77"/>
      <c r="E957" s="77"/>
      <c r="F957" s="77"/>
      <c r="G957" s="77"/>
      <c r="H957" s="77"/>
      <c r="I957" s="77"/>
      <c r="J957" s="77"/>
      <c r="K957" s="77"/>
      <c r="L957" s="77"/>
      <c r="M957" s="77"/>
      <c r="N957" s="77"/>
      <c r="O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7"/>
      <c r="AD957" s="77"/>
      <c r="AE957" s="77"/>
      <c r="AF957" s="77"/>
    </row>
    <row r="958" spans="1:32" ht="12.75" customHeight="1">
      <c r="A958" s="77"/>
      <c r="B958" s="77"/>
      <c r="C958" s="77"/>
      <c r="D958" s="77"/>
      <c r="E958" s="77"/>
      <c r="F958" s="77"/>
      <c r="G958" s="77"/>
      <c r="H958" s="77"/>
      <c r="I958" s="77"/>
      <c r="J958" s="77"/>
      <c r="K958" s="77"/>
      <c r="L958" s="77"/>
      <c r="M958" s="77"/>
      <c r="N958" s="77"/>
      <c r="O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7"/>
      <c r="AD958" s="77"/>
      <c r="AE958" s="77"/>
      <c r="AF958" s="77"/>
    </row>
    <row r="959" spans="1:32" ht="12.75" customHeight="1">
      <c r="A959" s="77"/>
      <c r="B959" s="77"/>
      <c r="C959" s="77"/>
      <c r="D959" s="77"/>
      <c r="E959" s="77"/>
      <c r="F959" s="77"/>
      <c r="G959" s="77"/>
      <c r="H959" s="77"/>
      <c r="I959" s="77"/>
      <c r="J959" s="77"/>
      <c r="K959" s="77"/>
      <c r="L959" s="77"/>
      <c r="M959" s="77"/>
      <c r="N959" s="77"/>
      <c r="O959" s="77"/>
      <c r="P959" s="77"/>
      <c r="Q959" s="77"/>
      <c r="R959" s="77"/>
      <c r="S959" s="77"/>
      <c r="T959" s="77"/>
      <c r="U959" s="77"/>
      <c r="V959" s="77"/>
      <c r="W959" s="77"/>
      <c r="X959" s="77"/>
      <c r="Y959" s="77"/>
      <c r="Z959" s="77"/>
      <c r="AA959" s="77"/>
      <c r="AB959" s="77"/>
      <c r="AC959" s="77"/>
      <c r="AD959" s="77"/>
      <c r="AE959" s="77"/>
      <c r="AF959" s="77"/>
    </row>
    <row r="960" spans="1:32" ht="12.75" customHeight="1">
      <c r="A960" s="77"/>
      <c r="B960" s="77"/>
      <c r="C960" s="77"/>
      <c r="D960" s="77"/>
      <c r="E960" s="77"/>
      <c r="F960" s="77"/>
      <c r="G960" s="77"/>
      <c r="H960" s="77"/>
      <c r="I960" s="77"/>
      <c r="J960" s="77"/>
      <c r="K960" s="77"/>
      <c r="L960" s="77"/>
      <c r="M960" s="77"/>
      <c r="N960" s="77"/>
      <c r="O960" s="77"/>
      <c r="P960" s="77"/>
      <c r="Q960" s="77"/>
      <c r="R960" s="77"/>
      <c r="S960" s="77"/>
      <c r="T960" s="77"/>
      <c r="U960" s="77"/>
      <c r="V960" s="77"/>
      <c r="W960" s="77"/>
      <c r="X960" s="77"/>
      <c r="Y960" s="77"/>
      <c r="Z960" s="77"/>
      <c r="AA960" s="77"/>
      <c r="AB960" s="77"/>
      <c r="AC960" s="77"/>
      <c r="AD960" s="77"/>
      <c r="AE960" s="77"/>
      <c r="AF960" s="77"/>
    </row>
    <row r="961" spans="1:32" ht="12.75" customHeight="1">
      <c r="A961" s="77"/>
      <c r="B961" s="77"/>
      <c r="C961" s="77"/>
      <c r="D961" s="77"/>
      <c r="E961" s="77"/>
      <c r="F961" s="77"/>
      <c r="G961" s="77"/>
      <c r="H961" s="77"/>
      <c r="I961" s="77"/>
      <c r="J961" s="77"/>
      <c r="K961" s="77"/>
      <c r="L961" s="77"/>
      <c r="M961" s="77"/>
      <c r="N961" s="77"/>
      <c r="O961" s="77"/>
      <c r="P961" s="77"/>
      <c r="Q961" s="77"/>
      <c r="R961" s="77"/>
      <c r="S961" s="77"/>
      <c r="T961" s="77"/>
      <c r="U961" s="77"/>
      <c r="V961" s="77"/>
      <c r="W961" s="77"/>
      <c r="X961" s="77"/>
      <c r="Y961" s="77"/>
      <c r="Z961" s="77"/>
      <c r="AA961" s="77"/>
      <c r="AB961" s="77"/>
      <c r="AC961" s="77"/>
      <c r="AD961" s="77"/>
      <c r="AE961" s="77"/>
      <c r="AF961" s="77"/>
    </row>
    <row r="962" spans="1:32" ht="12.75" customHeight="1">
      <c r="A962" s="77"/>
      <c r="B962" s="77"/>
      <c r="C962" s="77"/>
      <c r="D962" s="77"/>
      <c r="E962" s="77"/>
      <c r="F962" s="77"/>
      <c r="G962" s="77"/>
      <c r="H962" s="77"/>
      <c r="I962" s="77"/>
      <c r="J962" s="77"/>
      <c r="K962" s="77"/>
      <c r="L962" s="77"/>
      <c r="M962" s="77"/>
      <c r="N962" s="77"/>
      <c r="O962" s="77"/>
      <c r="P962" s="77"/>
      <c r="Q962" s="77"/>
      <c r="R962" s="77"/>
      <c r="S962" s="77"/>
      <c r="T962" s="77"/>
      <c r="U962" s="77"/>
      <c r="V962" s="77"/>
      <c r="W962" s="77"/>
      <c r="X962" s="77"/>
      <c r="Y962" s="77"/>
      <c r="Z962" s="77"/>
      <c r="AA962" s="77"/>
      <c r="AB962" s="77"/>
      <c r="AC962" s="77"/>
      <c r="AD962" s="77"/>
      <c r="AE962" s="77"/>
      <c r="AF962" s="77"/>
    </row>
    <row r="963" spans="1:32" ht="12.75" customHeight="1">
      <c r="A963" s="77"/>
      <c r="B963" s="77"/>
      <c r="C963" s="77"/>
      <c r="D963" s="77"/>
      <c r="E963" s="77"/>
      <c r="F963" s="77"/>
      <c r="G963" s="77"/>
      <c r="H963" s="77"/>
      <c r="I963" s="77"/>
      <c r="J963" s="77"/>
      <c r="K963" s="77"/>
      <c r="L963" s="77"/>
      <c r="M963" s="77"/>
      <c r="N963" s="77"/>
      <c r="O963" s="77"/>
      <c r="P963" s="77"/>
      <c r="Q963" s="77"/>
      <c r="R963" s="77"/>
      <c r="S963" s="77"/>
      <c r="T963" s="77"/>
      <c r="U963" s="77"/>
      <c r="V963" s="77"/>
      <c r="W963" s="77"/>
      <c r="X963" s="77"/>
      <c r="Y963" s="77"/>
      <c r="Z963" s="77"/>
      <c r="AA963" s="77"/>
      <c r="AB963" s="77"/>
      <c r="AC963" s="77"/>
      <c r="AD963" s="77"/>
      <c r="AE963" s="77"/>
      <c r="AF963" s="77"/>
    </row>
    <row r="964" spans="1:32" ht="12.75" customHeight="1">
      <c r="A964" s="77"/>
      <c r="B964" s="77"/>
      <c r="C964" s="77"/>
      <c r="D964" s="77"/>
      <c r="E964" s="77"/>
      <c r="F964" s="77"/>
      <c r="G964" s="77"/>
      <c r="H964" s="77"/>
      <c r="I964" s="77"/>
      <c r="J964" s="77"/>
      <c r="K964" s="77"/>
      <c r="L964" s="77"/>
      <c r="M964" s="77"/>
      <c r="N964" s="77"/>
      <c r="O964" s="77"/>
      <c r="P964" s="77"/>
      <c r="Q964" s="77"/>
      <c r="R964" s="77"/>
      <c r="S964" s="77"/>
      <c r="T964" s="77"/>
      <c r="U964" s="77"/>
      <c r="V964" s="77"/>
      <c r="W964" s="77"/>
      <c r="X964" s="77"/>
      <c r="Y964" s="77"/>
      <c r="Z964" s="77"/>
      <c r="AA964" s="77"/>
      <c r="AB964" s="77"/>
      <c r="AC964" s="77"/>
      <c r="AD964" s="77"/>
      <c r="AE964" s="77"/>
      <c r="AF964" s="77"/>
    </row>
    <row r="965" spans="1:32" ht="12.75" customHeight="1">
      <c r="A965" s="77"/>
      <c r="B965" s="77"/>
      <c r="C965" s="77"/>
      <c r="D965" s="77"/>
      <c r="E965" s="77"/>
      <c r="F965" s="77"/>
      <c r="G965" s="77"/>
      <c r="H965" s="77"/>
      <c r="I965" s="77"/>
      <c r="J965" s="77"/>
      <c r="K965" s="77"/>
      <c r="L965" s="77"/>
      <c r="M965" s="77"/>
      <c r="N965" s="77"/>
      <c r="O965" s="77"/>
      <c r="P965" s="77"/>
      <c r="Q965" s="77"/>
      <c r="R965" s="77"/>
      <c r="S965" s="77"/>
      <c r="T965" s="77"/>
      <c r="U965" s="77"/>
      <c r="V965" s="77"/>
      <c r="W965" s="77"/>
      <c r="X965" s="77"/>
      <c r="Y965" s="77"/>
      <c r="Z965" s="77"/>
      <c r="AA965" s="77"/>
      <c r="AB965" s="77"/>
      <c r="AC965" s="77"/>
      <c r="AD965" s="77"/>
      <c r="AE965" s="77"/>
      <c r="AF965" s="77"/>
    </row>
    <row r="966" spans="1:32" ht="12.75" customHeight="1">
      <c r="A966" s="77"/>
      <c r="B966" s="77"/>
      <c r="C966" s="77"/>
      <c r="D966" s="77"/>
      <c r="E966" s="77"/>
      <c r="F966" s="77"/>
      <c r="G966" s="77"/>
      <c r="H966" s="77"/>
      <c r="I966" s="77"/>
      <c r="J966" s="77"/>
      <c r="K966" s="77"/>
      <c r="L966" s="77"/>
      <c r="M966" s="77"/>
      <c r="N966" s="77"/>
      <c r="O966" s="77"/>
      <c r="P966" s="77"/>
      <c r="Q966" s="77"/>
      <c r="R966" s="77"/>
      <c r="S966" s="77"/>
      <c r="T966" s="77"/>
      <c r="U966" s="77"/>
      <c r="V966" s="77"/>
      <c r="W966" s="77"/>
      <c r="X966" s="77"/>
      <c r="Y966" s="77"/>
      <c r="Z966" s="77"/>
      <c r="AA966" s="77"/>
      <c r="AB966" s="77"/>
      <c r="AC966" s="77"/>
      <c r="AD966" s="77"/>
      <c r="AE966" s="77"/>
      <c r="AF966" s="77"/>
    </row>
    <row r="967" spans="1:32" ht="12.75" customHeight="1">
      <c r="A967" s="77"/>
      <c r="B967" s="77"/>
      <c r="C967" s="77"/>
      <c r="D967" s="77"/>
      <c r="E967" s="77"/>
      <c r="F967" s="77"/>
      <c r="G967" s="77"/>
      <c r="H967" s="77"/>
      <c r="I967" s="77"/>
      <c r="J967" s="77"/>
      <c r="K967" s="77"/>
      <c r="L967" s="77"/>
      <c r="M967" s="77"/>
      <c r="N967" s="77"/>
      <c r="O967" s="77"/>
      <c r="P967" s="77"/>
      <c r="Q967" s="77"/>
      <c r="R967" s="77"/>
      <c r="S967" s="77"/>
      <c r="T967" s="77"/>
      <c r="U967" s="77"/>
      <c r="V967" s="77"/>
      <c r="W967" s="77"/>
      <c r="X967" s="77"/>
      <c r="Y967" s="77"/>
      <c r="Z967" s="77"/>
      <c r="AA967" s="77"/>
      <c r="AB967" s="77"/>
      <c r="AC967" s="77"/>
      <c r="AD967" s="77"/>
      <c r="AE967" s="77"/>
      <c r="AF967" s="77"/>
    </row>
    <row r="968" spans="1:32" ht="12.75" customHeight="1">
      <c r="A968" s="77"/>
      <c r="B968" s="77"/>
      <c r="C968" s="77"/>
      <c r="D968" s="77"/>
      <c r="E968" s="77"/>
      <c r="F968" s="77"/>
      <c r="G968" s="77"/>
      <c r="H968" s="77"/>
      <c r="I968" s="77"/>
      <c r="J968" s="77"/>
      <c r="K968" s="77"/>
      <c r="L968" s="77"/>
      <c r="M968" s="77"/>
      <c r="N968" s="77"/>
      <c r="O968" s="77"/>
      <c r="P968" s="77"/>
      <c r="Q968" s="77"/>
      <c r="R968" s="77"/>
      <c r="S968" s="77"/>
      <c r="T968" s="77"/>
      <c r="U968" s="77"/>
      <c r="V968" s="77"/>
      <c r="W968" s="77"/>
      <c r="X968" s="77"/>
      <c r="Y968" s="77"/>
      <c r="Z968" s="77"/>
      <c r="AA968" s="77"/>
      <c r="AB968" s="77"/>
      <c r="AC968" s="77"/>
      <c r="AD968" s="77"/>
      <c r="AE968" s="77"/>
      <c r="AF968" s="77"/>
    </row>
    <row r="969" spans="1:32" ht="12.75" customHeight="1">
      <c r="A969" s="77"/>
      <c r="B969" s="77"/>
      <c r="C969" s="77"/>
      <c r="D969" s="77"/>
      <c r="E969" s="77"/>
      <c r="F969" s="77"/>
      <c r="G969" s="77"/>
      <c r="H969" s="77"/>
      <c r="I969" s="77"/>
      <c r="J969" s="77"/>
      <c r="K969" s="77"/>
      <c r="L969" s="77"/>
      <c r="M969" s="77"/>
      <c r="N969" s="77"/>
      <c r="O969" s="77"/>
      <c r="P969" s="77"/>
      <c r="Q969" s="77"/>
      <c r="R969" s="77"/>
      <c r="S969" s="77"/>
      <c r="T969" s="77"/>
      <c r="U969" s="77"/>
      <c r="V969" s="77"/>
      <c r="W969" s="77"/>
      <c r="X969" s="77"/>
      <c r="Y969" s="77"/>
      <c r="Z969" s="77"/>
      <c r="AA969" s="77"/>
      <c r="AB969" s="77"/>
      <c r="AC969" s="77"/>
      <c r="AD969" s="77"/>
      <c r="AE969" s="77"/>
      <c r="AF969" s="77"/>
    </row>
    <row r="970" spans="1:32" ht="12.75" customHeight="1">
      <c r="A970" s="77"/>
      <c r="B970" s="77"/>
      <c r="C970" s="77"/>
      <c r="D970" s="77"/>
      <c r="E970" s="77"/>
      <c r="F970" s="77"/>
      <c r="G970" s="77"/>
      <c r="H970" s="77"/>
      <c r="I970" s="77"/>
      <c r="J970" s="77"/>
      <c r="K970" s="77"/>
      <c r="L970" s="77"/>
      <c r="M970" s="77"/>
      <c r="N970" s="77"/>
      <c r="O970" s="77"/>
      <c r="P970" s="77"/>
      <c r="Q970" s="77"/>
      <c r="R970" s="77"/>
      <c r="S970" s="77"/>
      <c r="T970" s="77"/>
      <c r="U970" s="77"/>
      <c r="V970" s="77"/>
      <c r="W970" s="77"/>
      <c r="X970" s="77"/>
      <c r="Y970" s="77"/>
      <c r="Z970" s="77"/>
      <c r="AA970" s="77"/>
      <c r="AB970" s="77"/>
      <c r="AC970" s="77"/>
      <c r="AD970" s="77"/>
      <c r="AE970" s="77"/>
      <c r="AF970" s="77"/>
    </row>
    <row r="971" spans="1:32" ht="12.75" customHeight="1">
      <c r="A971" s="77"/>
      <c r="B971" s="77"/>
      <c r="C971" s="77"/>
      <c r="D971" s="77"/>
      <c r="E971" s="77"/>
      <c r="F971" s="77"/>
      <c r="G971" s="77"/>
      <c r="H971" s="77"/>
      <c r="I971" s="77"/>
      <c r="J971" s="77"/>
      <c r="K971" s="77"/>
      <c r="L971" s="77"/>
      <c r="M971" s="77"/>
      <c r="N971" s="77"/>
      <c r="O971" s="77"/>
      <c r="P971" s="77"/>
      <c r="Q971" s="77"/>
      <c r="R971" s="77"/>
      <c r="S971" s="77"/>
      <c r="T971" s="77"/>
      <c r="U971" s="77"/>
      <c r="V971" s="77"/>
      <c r="W971" s="77"/>
      <c r="X971" s="77"/>
      <c r="Y971" s="77"/>
      <c r="Z971" s="77"/>
      <c r="AA971" s="77"/>
      <c r="AB971" s="77"/>
      <c r="AC971" s="77"/>
      <c r="AD971" s="77"/>
      <c r="AE971" s="77"/>
      <c r="AF971" s="77"/>
    </row>
    <row r="972" spans="1:32" ht="12.75" customHeight="1">
      <c r="A972" s="77"/>
      <c r="B972" s="77"/>
      <c r="C972" s="77"/>
      <c r="D972" s="77"/>
      <c r="E972" s="77"/>
      <c r="F972" s="77"/>
      <c r="G972" s="77"/>
      <c r="H972" s="77"/>
      <c r="I972" s="77"/>
      <c r="J972" s="77"/>
      <c r="K972" s="77"/>
      <c r="L972" s="77"/>
      <c r="M972" s="77"/>
      <c r="N972" s="77"/>
      <c r="O972" s="77"/>
      <c r="P972" s="77"/>
      <c r="Q972" s="77"/>
      <c r="R972" s="77"/>
      <c r="S972" s="77"/>
      <c r="T972" s="77"/>
      <c r="U972" s="77"/>
      <c r="V972" s="77"/>
      <c r="W972" s="77"/>
      <c r="X972" s="77"/>
      <c r="Y972" s="77"/>
      <c r="Z972" s="77"/>
      <c r="AA972" s="77"/>
      <c r="AB972" s="77"/>
      <c r="AC972" s="77"/>
      <c r="AD972" s="77"/>
      <c r="AE972" s="77"/>
      <c r="AF972" s="77"/>
    </row>
    <row r="973" spans="1:32" ht="12.75" customHeight="1">
      <c r="A973" s="77"/>
      <c r="B973" s="77"/>
      <c r="C973" s="77"/>
      <c r="D973" s="77"/>
      <c r="E973" s="77"/>
      <c r="F973" s="77"/>
      <c r="G973" s="77"/>
      <c r="H973" s="77"/>
      <c r="I973" s="77"/>
      <c r="J973" s="77"/>
      <c r="K973" s="77"/>
      <c r="L973" s="77"/>
      <c r="M973" s="77"/>
      <c r="N973" s="77"/>
      <c r="O973" s="77"/>
      <c r="P973" s="77"/>
      <c r="Q973" s="77"/>
      <c r="R973" s="77"/>
      <c r="S973" s="77"/>
      <c r="T973" s="77"/>
      <c r="U973" s="77"/>
      <c r="V973" s="77"/>
      <c r="W973" s="77"/>
      <c r="X973" s="77"/>
      <c r="Y973" s="77"/>
      <c r="Z973" s="77"/>
      <c r="AA973" s="77"/>
      <c r="AB973" s="77"/>
      <c r="AC973" s="77"/>
      <c r="AD973" s="77"/>
      <c r="AE973" s="77"/>
      <c r="AF973" s="77"/>
    </row>
    <row r="974" spans="1:32" ht="12.75" customHeight="1">
      <c r="A974" s="77"/>
      <c r="B974" s="77"/>
      <c r="C974" s="77"/>
      <c r="D974" s="77"/>
      <c r="E974" s="77"/>
      <c r="F974" s="77"/>
      <c r="G974" s="77"/>
      <c r="H974" s="77"/>
      <c r="I974" s="77"/>
      <c r="J974" s="77"/>
      <c r="K974" s="77"/>
      <c r="L974" s="77"/>
      <c r="M974" s="77"/>
      <c r="N974" s="77"/>
      <c r="O974" s="77"/>
      <c r="P974" s="77"/>
      <c r="Q974" s="77"/>
      <c r="R974" s="77"/>
      <c r="S974" s="77"/>
      <c r="T974" s="77"/>
      <c r="U974" s="77"/>
      <c r="V974" s="77"/>
      <c r="W974" s="77"/>
      <c r="X974" s="77"/>
      <c r="Y974" s="77"/>
      <c r="Z974" s="77"/>
      <c r="AA974" s="77"/>
      <c r="AB974" s="77"/>
      <c r="AC974" s="77"/>
      <c r="AD974" s="77"/>
      <c r="AE974" s="77"/>
      <c r="AF974" s="77"/>
    </row>
    <row r="975" spans="1:32" ht="12.75" customHeight="1">
      <c r="A975" s="77"/>
      <c r="B975" s="77"/>
      <c r="C975" s="77"/>
      <c r="D975" s="77"/>
      <c r="E975" s="77"/>
      <c r="F975" s="77"/>
      <c r="G975" s="77"/>
      <c r="H975" s="77"/>
      <c r="I975" s="77"/>
      <c r="J975" s="77"/>
      <c r="K975" s="77"/>
      <c r="L975" s="77"/>
      <c r="M975" s="77"/>
      <c r="N975" s="77"/>
      <c r="O975" s="77"/>
      <c r="P975" s="77"/>
      <c r="Q975" s="77"/>
      <c r="R975" s="77"/>
      <c r="S975" s="77"/>
      <c r="T975" s="77"/>
      <c r="U975" s="77"/>
      <c r="V975" s="77"/>
      <c r="W975" s="77"/>
      <c r="X975" s="77"/>
      <c r="Y975" s="77"/>
      <c r="Z975" s="77"/>
      <c r="AA975" s="77"/>
      <c r="AB975" s="77"/>
      <c r="AC975" s="77"/>
      <c r="AD975" s="77"/>
      <c r="AE975" s="77"/>
      <c r="AF975" s="77"/>
    </row>
    <row r="976" spans="1:32" ht="12.75" customHeight="1">
      <c r="A976" s="77"/>
      <c r="B976" s="77"/>
      <c r="C976" s="77"/>
      <c r="D976" s="77"/>
      <c r="E976" s="77"/>
      <c r="F976" s="77"/>
      <c r="G976" s="77"/>
      <c r="H976" s="77"/>
      <c r="I976" s="77"/>
      <c r="J976" s="77"/>
      <c r="K976" s="77"/>
      <c r="L976" s="77"/>
      <c r="M976" s="77"/>
      <c r="N976" s="77"/>
      <c r="O976" s="77"/>
      <c r="P976" s="77"/>
      <c r="Q976" s="77"/>
      <c r="R976" s="77"/>
      <c r="S976" s="77"/>
      <c r="T976" s="77"/>
      <c r="U976" s="77"/>
      <c r="V976" s="77"/>
      <c r="W976" s="77"/>
      <c r="X976" s="77"/>
      <c r="Y976" s="77"/>
      <c r="Z976" s="77"/>
      <c r="AA976" s="77"/>
      <c r="AB976" s="77"/>
      <c r="AC976" s="77"/>
      <c r="AD976" s="77"/>
      <c r="AE976" s="77"/>
      <c r="AF976" s="77"/>
    </row>
    <row r="977" spans="1:32" ht="12.75" customHeight="1">
      <c r="A977" s="77"/>
      <c r="B977" s="77"/>
      <c r="C977" s="77"/>
      <c r="D977" s="77"/>
      <c r="E977" s="77"/>
      <c r="F977" s="77"/>
      <c r="G977" s="77"/>
      <c r="H977" s="77"/>
      <c r="I977" s="77"/>
      <c r="J977" s="77"/>
      <c r="K977" s="77"/>
      <c r="L977" s="77"/>
      <c r="M977" s="77"/>
      <c r="N977" s="77"/>
      <c r="O977" s="77"/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7"/>
      <c r="AD977" s="77"/>
      <c r="AE977" s="77"/>
      <c r="AF977" s="77"/>
    </row>
    <row r="978" spans="1:32" ht="12.75" customHeight="1">
      <c r="A978" s="77"/>
      <c r="B978" s="77"/>
      <c r="C978" s="77"/>
      <c r="D978" s="77"/>
      <c r="E978" s="77"/>
      <c r="F978" s="77"/>
      <c r="G978" s="77"/>
      <c r="H978" s="77"/>
      <c r="I978" s="77"/>
      <c r="J978" s="77"/>
      <c r="K978" s="77"/>
      <c r="L978" s="77"/>
      <c r="M978" s="77"/>
      <c r="N978" s="77"/>
      <c r="O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7"/>
      <c r="AD978" s="77"/>
      <c r="AE978" s="77"/>
      <c r="AF978" s="77"/>
    </row>
    <row r="979" spans="1:32" ht="12.75" customHeight="1">
      <c r="A979" s="77"/>
      <c r="B979" s="77"/>
      <c r="C979" s="77"/>
      <c r="D979" s="77"/>
      <c r="E979" s="77"/>
      <c r="F979" s="77"/>
      <c r="G979" s="77"/>
      <c r="H979" s="77"/>
      <c r="I979" s="77"/>
      <c r="J979" s="77"/>
      <c r="K979" s="77"/>
      <c r="L979" s="77"/>
      <c r="M979" s="77"/>
      <c r="N979" s="77"/>
      <c r="O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  <c r="AA979" s="77"/>
      <c r="AB979" s="77"/>
      <c r="AC979" s="77"/>
      <c r="AD979" s="77"/>
      <c r="AE979" s="77"/>
      <c r="AF979" s="77"/>
    </row>
    <row r="980" spans="1:32" ht="12.75" customHeight="1">
      <c r="A980" s="77"/>
      <c r="B980" s="77"/>
      <c r="C980" s="77"/>
      <c r="D980" s="77"/>
      <c r="E980" s="77"/>
      <c r="F980" s="77"/>
      <c r="G980" s="77"/>
      <c r="H980" s="77"/>
      <c r="I980" s="77"/>
      <c r="J980" s="77"/>
      <c r="K980" s="77"/>
      <c r="L980" s="77"/>
      <c r="M980" s="77"/>
      <c r="N980" s="77"/>
      <c r="O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7"/>
      <c r="AD980" s="77"/>
      <c r="AE980" s="77"/>
      <c r="AF980" s="77"/>
    </row>
    <row r="981" spans="1:32" ht="12.75" customHeight="1">
      <c r="A981" s="77"/>
      <c r="B981" s="77"/>
      <c r="C981" s="77"/>
      <c r="D981" s="77"/>
      <c r="E981" s="77"/>
      <c r="F981" s="77"/>
      <c r="G981" s="77"/>
      <c r="H981" s="77"/>
      <c r="I981" s="77"/>
      <c r="J981" s="77"/>
      <c r="K981" s="77"/>
      <c r="L981" s="77"/>
      <c r="M981" s="77"/>
      <c r="N981" s="77"/>
      <c r="O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  <c r="AA981" s="77"/>
      <c r="AB981" s="77"/>
      <c r="AC981" s="77"/>
      <c r="AD981" s="77"/>
      <c r="AE981" s="77"/>
      <c r="AF981" s="77"/>
    </row>
    <row r="982" spans="1:32" ht="12.75" customHeight="1">
      <c r="A982" s="77"/>
      <c r="B982" s="77"/>
      <c r="C982" s="77"/>
      <c r="D982" s="77"/>
      <c r="E982" s="77"/>
      <c r="F982" s="77"/>
      <c r="G982" s="77"/>
      <c r="H982" s="77"/>
      <c r="I982" s="77"/>
      <c r="J982" s="77"/>
      <c r="K982" s="77"/>
      <c r="L982" s="77"/>
      <c r="M982" s="77"/>
      <c r="N982" s="77"/>
      <c r="O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7"/>
      <c r="AD982" s="77"/>
      <c r="AE982" s="77"/>
      <c r="AF982" s="77"/>
    </row>
    <row r="983" spans="1:32" ht="12.75" customHeight="1">
      <c r="A983" s="77"/>
      <c r="B983" s="77"/>
      <c r="C983" s="77"/>
      <c r="D983" s="77"/>
      <c r="E983" s="77"/>
      <c r="F983" s="77"/>
      <c r="G983" s="77"/>
      <c r="H983" s="77"/>
      <c r="I983" s="77"/>
      <c r="J983" s="77"/>
      <c r="K983" s="77"/>
      <c r="L983" s="77"/>
      <c r="M983" s="77"/>
      <c r="N983" s="77"/>
      <c r="O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7"/>
      <c r="AD983" s="77"/>
      <c r="AE983" s="77"/>
      <c r="AF983" s="77"/>
    </row>
    <row r="984" spans="1:32" ht="12.75" customHeight="1">
      <c r="A984" s="77"/>
      <c r="B984" s="77"/>
      <c r="C984" s="77"/>
      <c r="D984" s="77"/>
      <c r="E984" s="77"/>
      <c r="F984" s="77"/>
      <c r="G984" s="77"/>
      <c r="H984" s="77"/>
      <c r="I984" s="77"/>
      <c r="J984" s="77"/>
      <c r="K984" s="77"/>
      <c r="L984" s="77"/>
      <c r="M984" s="77"/>
      <c r="N984" s="77"/>
      <c r="O984" s="77"/>
      <c r="P984" s="77"/>
      <c r="Q984" s="77"/>
      <c r="R984" s="77"/>
      <c r="S984" s="77"/>
      <c r="T984" s="77"/>
      <c r="U984" s="77"/>
      <c r="V984" s="77"/>
      <c r="W984" s="77"/>
      <c r="X984" s="77"/>
      <c r="Y984" s="77"/>
      <c r="Z984" s="77"/>
      <c r="AA984" s="77"/>
      <c r="AB984" s="77"/>
      <c r="AC984" s="77"/>
      <c r="AD984" s="77"/>
      <c r="AE984" s="77"/>
      <c r="AF984" s="77"/>
    </row>
    <row r="985" spans="1:32" ht="12.75" customHeight="1">
      <c r="A985" s="77"/>
      <c r="B985" s="77"/>
      <c r="C985" s="77"/>
      <c r="D985" s="77"/>
      <c r="E985" s="77"/>
      <c r="F985" s="77"/>
      <c r="G985" s="77"/>
      <c r="H985" s="77"/>
      <c r="I985" s="77"/>
      <c r="J985" s="77"/>
      <c r="K985" s="77"/>
      <c r="L985" s="77"/>
      <c r="M985" s="77"/>
      <c r="N985" s="77"/>
      <c r="O985" s="77"/>
      <c r="P985" s="77"/>
      <c r="Q985" s="77"/>
      <c r="R985" s="77"/>
      <c r="S985" s="77"/>
      <c r="T985" s="77"/>
      <c r="U985" s="77"/>
      <c r="V985" s="77"/>
      <c r="W985" s="77"/>
      <c r="X985" s="77"/>
      <c r="Y985" s="77"/>
      <c r="Z985" s="77"/>
      <c r="AA985" s="77"/>
      <c r="AB985" s="77"/>
      <c r="AC985" s="77"/>
      <c r="AD985" s="77"/>
      <c r="AE985" s="77"/>
      <c r="AF985" s="77"/>
    </row>
    <row r="986" spans="1:32" ht="12.75" customHeight="1">
      <c r="A986" s="77"/>
      <c r="B986" s="77"/>
      <c r="C986" s="77"/>
      <c r="D986" s="77"/>
      <c r="E986" s="77"/>
      <c r="F986" s="77"/>
      <c r="G986" s="77"/>
      <c r="H986" s="77"/>
      <c r="I986" s="77"/>
      <c r="J986" s="77"/>
      <c r="K986" s="77"/>
      <c r="L986" s="77"/>
      <c r="M986" s="77"/>
      <c r="N986" s="77"/>
      <c r="O986" s="77"/>
      <c r="P986" s="77"/>
      <c r="Q986" s="77"/>
      <c r="R986" s="77"/>
      <c r="S986" s="77"/>
      <c r="T986" s="77"/>
      <c r="U986" s="77"/>
      <c r="V986" s="77"/>
      <c r="W986" s="77"/>
      <c r="X986" s="77"/>
      <c r="Y986" s="77"/>
      <c r="Z986" s="77"/>
      <c r="AA986" s="77"/>
      <c r="AB986" s="77"/>
      <c r="AC986" s="77"/>
      <c r="AD986" s="77"/>
      <c r="AE986" s="77"/>
      <c r="AF986" s="77"/>
    </row>
    <row r="987" spans="1:32" ht="12.75" customHeight="1">
      <c r="A987" s="77"/>
      <c r="B987" s="77"/>
      <c r="C987" s="77"/>
      <c r="D987" s="77"/>
      <c r="E987" s="77"/>
      <c r="F987" s="77"/>
      <c r="G987" s="77"/>
      <c r="H987" s="77"/>
      <c r="I987" s="77"/>
      <c r="J987" s="77"/>
      <c r="K987" s="77"/>
      <c r="L987" s="77"/>
      <c r="M987" s="77"/>
      <c r="N987" s="77"/>
      <c r="O987" s="77"/>
      <c r="P987" s="77"/>
      <c r="Q987" s="77"/>
      <c r="R987" s="77"/>
      <c r="S987" s="77"/>
      <c r="T987" s="77"/>
      <c r="U987" s="77"/>
      <c r="V987" s="77"/>
      <c r="W987" s="77"/>
      <c r="X987" s="77"/>
      <c r="Y987" s="77"/>
      <c r="Z987" s="77"/>
      <c r="AA987" s="77"/>
      <c r="AB987" s="77"/>
      <c r="AC987" s="77"/>
      <c r="AD987" s="77"/>
      <c r="AE987" s="77"/>
      <c r="AF987" s="77"/>
    </row>
    <row r="988" spans="1:32" ht="12.75" customHeight="1">
      <c r="A988" s="77"/>
      <c r="B988" s="77"/>
      <c r="C988" s="77"/>
      <c r="D988" s="77"/>
      <c r="E988" s="77"/>
      <c r="F988" s="77"/>
      <c r="G988" s="77"/>
      <c r="H988" s="77"/>
      <c r="I988" s="77"/>
      <c r="J988" s="77"/>
      <c r="K988" s="77"/>
      <c r="L988" s="77"/>
      <c r="M988" s="77"/>
      <c r="N988" s="77"/>
      <c r="O988" s="77"/>
      <c r="P988" s="77"/>
      <c r="Q988" s="77"/>
      <c r="R988" s="77"/>
      <c r="S988" s="77"/>
      <c r="T988" s="77"/>
      <c r="U988" s="77"/>
      <c r="V988" s="77"/>
      <c r="W988" s="77"/>
      <c r="X988" s="77"/>
      <c r="Y988" s="77"/>
      <c r="Z988" s="77"/>
      <c r="AA988" s="77"/>
      <c r="AB988" s="77"/>
      <c r="AC988" s="77"/>
      <c r="AD988" s="77"/>
      <c r="AE988" s="77"/>
      <c r="AF988" s="77"/>
    </row>
    <row r="989" spans="1:32" ht="12.75" customHeight="1">
      <c r="A989" s="77"/>
      <c r="B989" s="77"/>
      <c r="C989" s="77"/>
      <c r="D989" s="77"/>
      <c r="E989" s="77"/>
      <c r="F989" s="77"/>
      <c r="G989" s="77"/>
      <c r="H989" s="77"/>
      <c r="I989" s="77"/>
      <c r="J989" s="77"/>
      <c r="K989" s="77"/>
      <c r="L989" s="77"/>
      <c r="M989" s="77"/>
      <c r="N989" s="77"/>
      <c r="O989" s="77"/>
      <c r="P989" s="77"/>
      <c r="Q989" s="77"/>
      <c r="R989" s="77"/>
      <c r="S989" s="77"/>
      <c r="T989" s="77"/>
      <c r="U989" s="77"/>
      <c r="V989" s="77"/>
      <c r="W989" s="77"/>
      <c r="X989" s="77"/>
      <c r="Y989" s="77"/>
      <c r="Z989" s="77"/>
      <c r="AA989" s="77"/>
      <c r="AB989" s="77"/>
      <c r="AC989" s="77"/>
      <c r="AD989" s="77"/>
      <c r="AE989" s="77"/>
      <c r="AF989" s="77"/>
    </row>
    <row r="990" spans="1:32" ht="12.75" customHeight="1">
      <c r="A990" s="77"/>
      <c r="B990" s="77"/>
      <c r="C990" s="77"/>
      <c r="D990" s="77"/>
      <c r="E990" s="77"/>
      <c r="F990" s="77"/>
      <c r="G990" s="77"/>
      <c r="H990" s="77"/>
      <c r="I990" s="77"/>
      <c r="J990" s="77"/>
      <c r="K990" s="77"/>
      <c r="L990" s="77"/>
      <c r="M990" s="77"/>
      <c r="N990" s="77"/>
      <c r="O990" s="77"/>
      <c r="P990" s="77"/>
      <c r="Q990" s="77"/>
      <c r="R990" s="77"/>
      <c r="S990" s="77"/>
      <c r="T990" s="77"/>
      <c r="U990" s="77"/>
      <c r="V990" s="77"/>
      <c r="W990" s="77"/>
      <c r="X990" s="77"/>
      <c r="Y990" s="77"/>
      <c r="Z990" s="77"/>
      <c r="AA990" s="77"/>
      <c r="AB990" s="77"/>
      <c r="AC990" s="77"/>
      <c r="AD990" s="77"/>
      <c r="AE990" s="77"/>
      <c r="AF990" s="77"/>
    </row>
    <row r="991" spans="1:32" ht="12.75" customHeight="1">
      <c r="A991" s="77"/>
      <c r="B991" s="77"/>
      <c r="C991" s="77"/>
      <c r="D991" s="77"/>
      <c r="E991" s="77"/>
      <c r="F991" s="77"/>
      <c r="G991" s="77"/>
      <c r="H991" s="77"/>
      <c r="I991" s="77"/>
      <c r="J991" s="77"/>
      <c r="K991" s="77"/>
      <c r="L991" s="77"/>
      <c r="M991" s="77"/>
      <c r="N991" s="77"/>
      <c r="O991" s="77"/>
      <c r="P991" s="77"/>
      <c r="Q991" s="77"/>
      <c r="R991" s="77"/>
      <c r="S991" s="77"/>
      <c r="T991" s="77"/>
      <c r="U991" s="77"/>
      <c r="V991" s="77"/>
      <c r="W991" s="77"/>
      <c r="X991" s="77"/>
      <c r="Y991" s="77"/>
      <c r="Z991" s="77"/>
      <c r="AA991" s="77"/>
      <c r="AB991" s="77"/>
      <c r="AC991" s="77"/>
      <c r="AD991" s="77"/>
      <c r="AE991" s="77"/>
      <c r="AF991" s="77"/>
    </row>
    <row r="992" spans="1:32" ht="12.75" customHeight="1">
      <c r="A992" s="77"/>
      <c r="B992" s="77"/>
      <c r="C992" s="77"/>
      <c r="D992" s="77"/>
      <c r="E992" s="77"/>
      <c r="F992" s="77"/>
      <c r="G992" s="77"/>
      <c r="H992" s="77"/>
      <c r="I992" s="77"/>
      <c r="J992" s="77"/>
      <c r="K992" s="77"/>
      <c r="L992" s="77"/>
      <c r="M992" s="77"/>
      <c r="N992" s="77"/>
      <c r="O992" s="77"/>
      <c r="P992" s="77"/>
      <c r="Q992" s="77"/>
      <c r="R992" s="77"/>
      <c r="S992" s="77"/>
      <c r="T992" s="77"/>
      <c r="U992" s="77"/>
      <c r="V992" s="77"/>
      <c r="W992" s="77"/>
      <c r="X992" s="77"/>
      <c r="Y992" s="77"/>
      <c r="Z992" s="77"/>
      <c r="AA992" s="77"/>
      <c r="AB992" s="77"/>
      <c r="AC992" s="77"/>
      <c r="AD992" s="77"/>
      <c r="AE992" s="77"/>
      <c r="AF992" s="77"/>
    </row>
    <row r="993" spans="1:32" ht="12.75" customHeight="1">
      <c r="A993" s="77"/>
      <c r="B993" s="77"/>
      <c r="C993" s="77"/>
      <c r="D993" s="77"/>
      <c r="E993" s="77"/>
      <c r="F993" s="77"/>
      <c r="G993" s="77"/>
      <c r="H993" s="77"/>
      <c r="I993" s="77"/>
      <c r="J993" s="77"/>
      <c r="K993" s="77"/>
      <c r="L993" s="77"/>
      <c r="M993" s="77"/>
      <c r="N993" s="77"/>
      <c r="O993" s="77"/>
      <c r="P993" s="77"/>
      <c r="Q993" s="77"/>
      <c r="R993" s="77"/>
      <c r="S993" s="77"/>
      <c r="T993" s="77"/>
      <c r="U993" s="77"/>
      <c r="V993" s="77"/>
      <c r="W993" s="77"/>
      <c r="X993" s="77"/>
      <c r="Y993" s="77"/>
      <c r="Z993" s="77"/>
      <c r="AA993" s="77"/>
      <c r="AB993" s="77"/>
      <c r="AC993" s="77"/>
      <c r="AD993" s="77"/>
      <c r="AE993" s="77"/>
      <c r="AF993" s="77"/>
    </row>
    <row r="994" spans="1:32" ht="12.75" customHeight="1">
      <c r="A994" s="77"/>
      <c r="B994" s="77"/>
      <c r="C994" s="77"/>
      <c r="D994" s="77"/>
      <c r="E994" s="77"/>
      <c r="F994" s="77"/>
      <c r="G994" s="77"/>
      <c r="H994" s="77"/>
      <c r="I994" s="77"/>
      <c r="J994" s="77"/>
      <c r="K994" s="77"/>
      <c r="L994" s="77"/>
      <c r="M994" s="77"/>
      <c r="N994" s="77"/>
      <c r="O994" s="77"/>
      <c r="P994" s="77"/>
      <c r="Q994" s="77"/>
      <c r="R994" s="77"/>
      <c r="S994" s="77"/>
      <c r="T994" s="77"/>
      <c r="U994" s="77"/>
      <c r="V994" s="77"/>
      <c r="W994" s="77"/>
      <c r="X994" s="77"/>
      <c r="Y994" s="77"/>
      <c r="Z994" s="77"/>
      <c r="AA994" s="77"/>
      <c r="AB994" s="77"/>
      <c r="AC994" s="77"/>
      <c r="AD994" s="77"/>
      <c r="AE994" s="77"/>
      <c r="AF994" s="77"/>
    </row>
    <row r="995" spans="1:32" ht="12.75" customHeight="1">
      <c r="A995" s="77"/>
      <c r="B995" s="77"/>
      <c r="C995" s="77"/>
      <c r="D995" s="77"/>
      <c r="E995" s="77"/>
      <c r="F995" s="77"/>
      <c r="G995" s="77"/>
      <c r="H995" s="77"/>
      <c r="I995" s="77"/>
      <c r="J995" s="77"/>
      <c r="K995" s="77"/>
      <c r="L995" s="77"/>
      <c r="M995" s="77"/>
      <c r="N995" s="77"/>
      <c r="O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7"/>
      <c r="AD995" s="77"/>
      <c r="AE995" s="77"/>
      <c r="AF995" s="77"/>
    </row>
    <row r="996" spans="1:32" ht="12.75" customHeight="1">
      <c r="A996" s="77"/>
      <c r="B996" s="77"/>
      <c r="C996" s="77"/>
      <c r="D996" s="77"/>
      <c r="E996" s="77"/>
      <c r="F996" s="77"/>
      <c r="G996" s="77"/>
      <c r="H996" s="77"/>
      <c r="I996" s="77"/>
      <c r="J996" s="77"/>
      <c r="K996" s="77"/>
      <c r="L996" s="77"/>
      <c r="M996" s="77"/>
      <c r="N996" s="77"/>
      <c r="O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7"/>
      <c r="AD996" s="77"/>
      <c r="AE996" s="77"/>
      <c r="AF996" s="77"/>
    </row>
    <row r="997" spans="1:32" ht="12.75" customHeight="1">
      <c r="A997" s="77"/>
      <c r="B997" s="77"/>
      <c r="C997" s="77"/>
      <c r="D997" s="77"/>
      <c r="E997" s="77"/>
      <c r="F997" s="77"/>
      <c r="G997" s="77"/>
      <c r="H997" s="77"/>
      <c r="I997" s="77"/>
      <c r="J997" s="77"/>
      <c r="K997" s="77"/>
      <c r="L997" s="77"/>
      <c r="M997" s="77"/>
      <c r="N997" s="77"/>
      <c r="O997" s="77"/>
      <c r="P997" s="77"/>
      <c r="Q997" s="77"/>
      <c r="R997" s="77"/>
      <c r="S997" s="77"/>
      <c r="T997" s="77"/>
      <c r="U997" s="77"/>
      <c r="V997" s="77"/>
      <c r="W997" s="77"/>
      <c r="X997" s="77"/>
      <c r="Y997" s="77"/>
      <c r="Z997" s="77"/>
      <c r="AA997" s="77"/>
      <c r="AB997" s="77"/>
      <c r="AC997" s="77"/>
      <c r="AD997" s="77"/>
      <c r="AE997" s="77"/>
      <c r="AF997" s="77"/>
    </row>
    <row r="998" spans="1:32" ht="12.75" customHeight="1">
      <c r="A998" s="77"/>
      <c r="B998" s="77"/>
      <c r="C998" s="77"/>
      <c r="D998" s="77"/>
      <c r="E998" s="77"/>
      <c r="F998" s="77"/>
      <c r="G998" s="77"/>
      <c r="H998" s="77"/>
      <c r="I998" s="77"/>
      <c r="J998" s="77"/>
      <c r="K998" s="77"/>
      <c r="L998" s="77"/>
      <c r="M998" s="77"/>
      <c r="N998" s="77"/>
      <c r="O998" s="77"/>
      <c r="P998" s="77"/>
      <c r="Q998" s="77"/>
      <c r="R998" s="77"/>
      <c r="S998" s="77"/>
      <c r="T998" s="77"/>
      <c r="U998" s="77"/>
      <c r="V998" s="77"/>
      <c r="W998" s="77"/>
      <c r="X998" s="77"/>
      <c r="Y998" s="77"/>
      <c r="Z998" s="77"/>
      <c r="AA998" s="77"/>
      <c r="AB998" s="77"/>
      <c r="AC998" s="77"/>
      <c r="AD998" s="77"/>
      <c r="AE998" s="77"/>
      <c r="AF998" s="77"/>
    </row>
    <row r="999" spans="1:32" ht="12.75" customHeight="1">
      <c r="A999" s="77"/>
      <c r="B999" s="77"/>
      <c r="C999" s="77"/>
      <c r="D999" s="77"/>
      <c r="E999" s="77"/>
      <c r="F999" s="77"/>
      <c r="G999" s="77"/>
      <c r="H999" s="77"/>
      <c r="I999" s="77"/>
      <c r="J999" s="77"/>
      <c r="K999" s="77"/>
      <c r="L999" s="77"/>
      <c r="M999" s="77"/>
      <c r="N999" s="77"/>
      <c r="O999" s="77"/>
      <c r="P999" s="77"/>
      <c r="Q999" s="77"/>
      <c r="R999" s="77"/>
      <c r="S999" s="77"/>
      <c r="T999" s="77"/>
      <c r="U999" s="77"/>
      <c r="V999" s="77"/>
      <c r="W999" s="77"/>
      <c r="X999" s="77"/>
      <c r="Y999" s="77"/>
      <c r="Z999" s="77"/>
      <c r="AA999" s="77"/>
      <c r="AB999" s="77"/>
      <c r="AC999" s="77"/>
      <c r="AD999" s="77"/>
      <c r="AE999" s="77"/>
      <c r="AF999" s="77"/>
    </row>
    <row r="1000" spans="1:32" ht="12.75" customHeight="1">
      <c r="A1000" s="77"/>
      <c r="B1000" s="77"/>
      <c r="C1000" s="77"/>
      <c r="D1000" s="77"/>
      <c r="E1000" s="77"/>
      <c r="F1000" s="77"/>
      <c r="G1000" s="77"/>
      <c r="H1000" s="77"/>
      <c r="I1000" s="77"/>
      <c r="J1000" s="77"/>
      <c r="K1000" s="77"/>
      <c r="L1000" s="77"/>
      <c r="M1000" s="77"/>
      <c r="N1000" s="77"/>
      <c r="O1000" s="77"/>
      <c r="P1000" s="77"/>
      <c r="Q1000" s="77"/>
      <c r="R1000" s="77"/>
      <c r="S1000" s="77"/>
      <c r="T1000" s="77"/>
      <c r="U1000" s="77"/>
      <c r="V1000" s="77"/>
      <c r="W1000" s="77"/>
      <c r="X1000" s="77"/>
      <c r="Y1000" s="77"/>
      <c r="Z1000" s="77"/>
      <c r="AA1000" s="77"/>
      <c r="AB1000" s="77"/>
      <c r="AC1000" s="77"/>
      <c r="AD1000" s="77"/>
      <c r="AE1000" s="77"/>
      <c r="AF1000" s="77"/>
    </row>
  </sheetData>
  <hyperlinks>
    <hyperlink ref="A2" r:id="rId1"/>
  </hyperlinks>
  <pageMargins left="0.75" right="0.75" top="1" bottom="1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P2:W1000"/>
  <sheetViews>
    <sheetView workbookViewId="0"/>
  </sheetViews>
  <sheetFormatPr defaultColWidth="14.44140625" defaultRowHeight="15" customHeight="1"/>
  <cols>
    <col min="1" max="17" width="8.6640625" customWidth="1"/>
    <col min="18" max="18" width="14.6640625" customWidth="1"/>
    <col min="19" max="28" width="8.6640625" customWidth="1"/>
  </cols>
  <sheetData>
    <row r="2" spans="18:23" ht="14.4">
      <c r="R2" s="115" t="str">
        <f>optionchain!$G$2</f>
        <v>NIFTY</v>
      </c>
    </row>
    <row r="3" spans="18:23" ht="18">
      <c r="R3" s="116" t="s">
        <v>215</v>
      </c>
      <c r="S3" s="2">
        <f>optionchain!I7</f>
        <v>18000</v>
      </c>
      <c r="T3" s="117" t="e">
        <f ca="1">IF(optionchain!K7=0,NA(),optionchain!K7)</f>
        <v>#NAME?</v>
      </c>
    </row>
    <row r="4" spans="18:23" ht="15.6">
      <c r="R4" s="118">
        <f>optionchain!I6</f>
        <v>18512.75</v>
      </c>
      <c r="S4" s="2">
        <f>optionchain!I8</f>
        <v>18050</v>
      </c>
      <c r="T4" s="117" t="e">
        <f ca="1">IF(optionchain!K8=0,NA(),optionchain!K8)</f>
        <v>#NAME?</v>
      </c>
    </row>
    <row r="5" spans="18:23" ht="14.4">
      <c r="S5" s="2">
        <f>optionchain!I9</f>
        <v>18100</v>
      </c>
      <c r="T5" s="117" t="e">
        <f ca="1">IF(optionchain!K9=0,NA(),optionchain!K9)</f>
        <v>#NAME?</v>
      </c>
    </row>
    <row r="6" spans="18:23" ht="14.4">
      <c r="S6" s="2">
        <f>optionchain!I10</f>
        <v>18150</v>
      </c>
      <c r="T6" s="117" t="e">
        <f ca="1">IF(optionchain!K10=0,NA(),optionchain!K10)</f>
        <v>#NAME?</v>
      </c>
    </row>
    <row r="7" spans="18:23" ht="14.4">
      <c r="S7" s="2">
        <f>optionchain!I11</f>
        <v>18200</v>
      </c>
      <c r="T7" s="117" t="e">
        <f ca="1">IF(optionchain!K11=0,NA(),optionchain!K11)</f>
        <v>#NAME?</v>
      </c>
    </row>
    <row r="8" spans="18:23" ht="14.4">
      <c r="S8" s="2">
        <f>optionchain!I12</f>
        <v>18250</v>
      </c>
      <c r="T8" s="117" t="e">
        <f ca="1">IF(optionchain!K12=0,NA(),optionchain!K12)</f>
        <v>#NAME?</v>
      </c>
    </row>
    <row r="9" spans="18:23" ht="14.4">
      <c r="S9" s="2">
        <f>optionchain!I13</f>
        <v>18300</v>
      </c>
      <c r="T9" s="117" t="e">
        <f ca="1">IF(optionchain!K13=0,NA(),optionchain!K13)</f>
        <v>#NAME?</v>
      </c>
      <c r="W9" s="2" t="e">
        <f>1/0</f>
        <v>#DIV/0!</v>
      </c>
    </row>
    <row r="10" spans="18:23" ht="14.4">
      <c r="S10" s="2">
        <f>optionchain!I14</f>
        <v>18350</v>
      </c>
      <c r="T10" s="117" t="e">
        <f ca="1">IF(optionchain!K14=0,NA(),optionchain!K14)</f>
        <v>#NAME?</v>
      </c>
    </row>
    <row r="11" spans="18:23" ht="14.4">
      <c r="S11" s="2">
        <f>optionchain!I15</f>
        <v>18400</v>
      </c>
      <c r="T11" s="117" t="e">
        <f ca="1">IF(optionchain!K15=0,NA(),optionchain!K15)</f>
        <v>#NAME?</v>
      </c>
      <c r="W11" s="2" t="e">
        <f>NA()</f>
        <v>#N/A</v>
      </c>
    </row>
    <row r="12" spans="18:23" ht="14.4">
      <c r="S12" s="2">
        <f>optionchain!I16</f>
        <v>18450</v>
      </c>
      <c r="T12" s="117" t="e">
        <f ca="1">IF(optionchain!K16=0,NA(),optionchain!K16)</f>
        <v>#NAME?</v>
      </c>
    </row>
    <row r="13" spans="18:23" ht="14.4">
      <c r="S13" s="2">
        <f>optionchain!I17</f>
        <v>18500</v>
      </c>
      <c r="T13" s="117" t="e">
        <f>NA()</f>
        <v>#N/A</v>
      </c>
    </row>
    <row r="14" spans="18:23" ht="14.4">
      <c r="S14" s="2">
        <f>optionchain!I18</f>
        <v>18550</v>
      </c>
      <c r="T14" s="117" t="e">
        <f ca="1">IF(optionchain!G18=0,NA(),optionchain!G18)</f>
        <v>#NAME?</v>
      </c>
    </row>
    <row r="15" spans="18:23" ht="14.4">
      <c r="S15" s="2">
        <f>optionchain!I19</f>
        <v>18600</v>
      </c>
      <c r="T15" s="117" t="e">
        <f ca="1">IF(optionchain!G19=0,NA(),optionchain!G19)</f>
        <v>#NAME?</v>
      </c>
    </row>
    <row r="16" spans="18:23" ht="14.4">
      <c r="S16" s="2">
        <f>optionchain!I20</f>
        <v>18650</v>
      </c>
      <c r="T16" s="117" t="e">
        <f ca="1">IF(optionchain!G20=0,NA(),optionchain!G20)</f>
        <v>#NAME?</v>
      </c>
    </row>
    <row r="17" spans="16:20" ht="14.4">
      <c r="S17" s="2">
        <f>optionchain!I21</f>
        <v>18700</v>
      </c>
      <c r="T17" s="117" t="e">
        <f ca="1">IF(optionchain!G21=0,NA(),optionchain!G21)</f>
        <v>#NAME?</v>
      </c>
    </row>
    <row r="18" spans="16:20" ht="14.4">
      <c r="S18" s="2">
        <f>optionchain!I22</f>
        <v>18750</v>
      </c>
      <c r="T18" s="117" t="e">
        <f ca="1">IF(optionchain!G22=0,NA(),optionchain!G22)</f>
        <v>#NAME?</v>
      </c>
    </row>
    <row r="19" spans="16:20" ht="14.4">
      <c r="S19" s="2">
        <f>optionchain!I23</f>
        <v>18800</v>
      </c>
      <c r="T19" s="117" t="e">
        <f ca="1">IF(optionchain!G23=0,NA(),optionchain!G23)</f>
        <v>#NAME?</v>
      </c>
    </row>
    <row r="20" spans="16:20" ht="14.4">
      <c r="S20" s="2">
        <f>optionchain!I24</f>
        <v>18850</v>
      </c>
      <c r="T20" s="117" t="e">
        <f ca="1">IF(optionchain!G24=0,NA(),optionchain!G24)</f>
        <v>#NAME?</v>
      </c>
    </row>
    <row r="21" spans="16:20" ht="15.75" customHeight="1">
      <c r="S21" s="2">
        <f>optionchain!I25</f>
        <v>18900</v>
      </c>
      <c r="T21" s="117" t="e">
        <f ca="1">IF(optionchain!G25=0,NA(),optionchain!G25)</f>
        <v>#NAME?</v>
      </c>
    </row>
    <row r="22" spans="16:20" ht="15.75" customHeight="1">
      <c r="S22" s="2">
        <f>optionchain!I26</f>
        <v>18950</v>
      </c>
      <c r="T22" s="117" t="e">
        <f ca="1">IF(optionchain!G26=0,NA(),optionchain!G26)</f>
        <v>#NAME?</v>
      </c>
    </row>
    <row r="23" spans="16:20" ht="15.75" customHeight="1">
      <c r="S23" s="2">
        <f>optionchain!I27</f>
        <v>19000</v>
      </c>
      <c r="T23" s="117" t="e">
        <f ca="1">IF(optionchain!G27=0,NA(),optionchain!G27)</f>
        <v>#NAME?</v>
      </c>
    </row>
    <row r="24" spans="16:20" ht="15.75" customHeight="1"/>
    <row r="25" spans="16:20" ht="15.75" customHeight="1">
      <c r="T25" s="119"/>
    </row>
    <row r="26" spans="16:20" ht="15.75" customHeight="1"/>
    <row r="27" spans="16:20" ht="15.75" customHeight="1"/>
    <row r="28" spans="16:20" ht="15.75" customHeight="1"/>
    <row r="29" spans="16:20" ht="15.75" customHeight="1"/>
    <row r="30" spans="16:20" ht="15.75" customHeight="1"/>
    <row r="31" spans="16:20" ht="15.75" customHeight="1"/>
    <row r="32" spans="16:20" ht="15.75" customHeight="1">
      <c r="P32" s="3"/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000"/>
  <sheetViews>
    <sheetView workbookViewId="0"/>
  </sheetViews>
  <sheetFormatPr defaultColWidth="14.44140625" defaultRowHeight="15" customHeight="1"/>
  <cols>
    <col min="1" max="1" width="8.6640625" customWidth="1"/>
    <col min="2" max="4" width="13" customWidth="1"/>
    <col min="5" max="5" width="11.5546875" customWidth="1"/>
    <col min="6" max="6" width="10.44140625" customWidth="1"/>
    <col min="7" max="7" width="12.6640625" customWidth="1"/>
    <col min="8" max="8" width="9.6640625" customWidth="1"/>
    <col min="9" max="33" width="8.6640625" customWidth="1"/>
  </cols>
  <sheetData>
    <row r="1" spans="1:8" ht="14.4">
      <c r="A1" s="120" t="s">
        <v>186</v>
      </c>
      <c r="B1" s="120" t="s">
        <v>219</v>
      </c>
      <c r="C1" s="120" t="s">
        <v>188</v>
      </c>
      <c r="D1" s="120" t="s">
        <v>258</v>
      </c>
      <c r="E1" s="120" t="s">
        <v>190</v>
      </c>
      <c r="F1" s="120" t="s">
        <v>191</v>
      </c>
      <c r="G1" s="120" t="s">
        <v>259</v>
      </c>
      <c r="H1" s="19"/>
    </row>
    <row r="15" spans="1:8" ht="15.6">
      <c r="A15" s="3"/>
      <c r="C15" s="3"/>
      <c r="D15" s="3"/>
      <c r="E15" s="3"/>
      <c r="F15" s="3"/>
      <c r="G15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00"/>
  <sheetViews>
    <sheetView workbookViewId="0"/>
  </sheetViews>
  <sheetFormatPr defaultColWidth="14.44140625" defaultRowHeight="15" customHeight="1"/>
  <cols>
    <col min="1" max="1" width="16.109375" customWidth="1"/>
    <col min="2" max="2" width="8.6640625" customWidth="1"/>
    <col min="3" max="3" width="10" customWidth="1"/>
    <col min="4" max="5" width="8.6640625" customWidth="1"/>
    <col min="6" max="6" width="9.5546875" customWidth="1"/>
    <col min="7" max="8" width="8.6640625" customWidth="1"/>
    <col min="9" max="9" width="11.33203125" customWidth="1"/>
    <col min="10" max="10" width="15.109375" customWidth="1"/>
    <col min="11" max="11" width="14.109375" customWidth="1"/>
    <col min="12" max="26" width="8.6640625" customWidth="1"/>
  </cols>
  <sheetData>
    <row r="1" spans="1:11" ht="14.4">
      <c r="A1" s="2" t="s">
        <v>260</v>
      </c>
      <c r="B1" s="2" t="s">
        <v>261</v>
      </c>
      <c r="C1" s="2" t="s">
        <v>262</v>
      </c>
      <c r="D1" s="2" t="s">
        <v>263</v>
      </c>
      <c r="E1" s="2" t="s">
        <v>264</v>
      </c>
      <c r="F1" s="2" t="s">
        <v>265</v>
      </c>
      <c r="G1" s="2" t="s">
        <v>266</v>
      </c>
      <c r="H1" s="2" t="s">
        <v>267</v>
      </c>
      <c r="I1" s="2" t="s">
        <v>268</v>
      </c>
      <c r="J1" s="2" t="s">
        <v>269</v>
      </c>
      <c r="K1" s="2" t="s">
        <v>270</v>
      </c>
    </row>
    <row r="2" spans="1:11" ht="14.4">
      <c r="A2" s="2">
        <v>3851</v>
      </c>
      <c r="B2" s="2">
        <v>3850</v>
      </c>
      <c r="C2" s="2">
        <f t="shared" ref="C2:C7" si="0">28/250</f>
        <v>0.112</v>
      </c>
      <c r="D2" s="2">
        <v>0.01</v>
      </c>
      <c r="E2" s="2">
        <v>145.55000000000001</v>
      </c>
      <c r="F2" s="2">
        <v>0.3</v>
      </c>
      <c r="G2" s="2">
        <f t="shared" ref="G2:G6" si="1">(LN(A2/B2)+(D2+0.5*F2^2/2)*C21)/(F2*SQRT(C2))</f>
        <v>2.5867389863913058E-3</v>
      </c>
      <c r="H2" s="2">
        <f t="shared" ref="H2:H6" si="2">G2-F2*SQRT(C2)</f>
        <v>-9.7812464197697749E-2</v>
      </c>
      <c r="I2" s="2">
        <f t="shared" ref="I2:I6" si="3">A2*SQRT(C2)* _xlfn.NORM.DIST(G2, 0,1,FALSE)</f>
        <v>514.15154218609814</v>
      </c>
      <c r="J2" s="2">
        <f t="shared" ref="J2:J6" si="4">_xlfn.NORM.DIST(G2,0,1,TRUE)*A2-_xlfn.NORM.DIST(H2, 0,1,TRUE)*B2*EXP(-D2*C2)</f>
        <v>156.45463705878274</v>
      </c>
      <c r="K2" s="2">
        <f t="shared" ref="K2:K5" si="5">-(J2-E2)/I2 +F2</f>
        <v>0.27879100583377076</v>
      </c>
    </row>
    <row r="3" spans="1:11" ht="14.4">
      <c r="A3" s="2">
        <v>3851</v>
      </c>
      <c r="B3" s="2">
        <v>3850</v>
      </c>
      <c r="C3" s="2">
        <f t="shared" si="0"/>
        <v>0.112</v>
      </c>
      <c r="D3" s="2">
        <v>0.01</v>
      </c>
      <c r="E3" s="2">
        <v>145.55000000000001</v>
      </c>
      <c r="F3" s="2">
        <f t="shared" ref="F3:F6" si="6">K2</f>
        <v>0.27879100583377076</v>
      </c>
      <c r="G3" s="2">
        <f t="shared" si="1"/>
        <v>2.7835248615591815E-3</v>
      </c>
      <c r="H3" s="2">
        <f t="shared" si="2"/>
        <v>-9.0517791273778514E-2</v>
      </c>
      <c r="I3" s="2">
        <f t="shared" si="3"/>
        <v>514.15127051053332</v>
      </c>
      <c r="J3" s="2">
        <f t="shared" si="4"/>
        <v>145.61494692512224</v>
      </c>
      <c r="K3" s="2">
        <f t="shared" si="5"/>
        <v>0.27866468712399156</v>
      </c>
    </row>
    <row r="4" spans="1:11" ht="14.4">
      <c r="A4" s="2">
        <v>3851</v>
      </c>
      <c r="B4" s="2">
        <v>3850</v>
      </c>
      <c r="C4" s="2">
        <f t="shared" si="0"/>
        <v>0.112</v>
      </c>
      <c r="D4" s="2">
        <v>0.01</v>
      </c>
      <c r="E4" s="2">
        <v>69.900000000000006</v>
      </c>
      <c r="F4" s="2">
        <f t="shared" si="6"/>
        <v>0.27866468712399156</v>
      </c>
      <c r="G4" s="2">
        <f t="shared" si="1"/>
        <v>2.7847866334499054E-3</v>
      </c>
      <c r="H4" s="2">
        <f t="shared" si="2"/>
        <v>-9.0474255175857554E-2</v>
      </c>
      <c r="I4" s="2">
        <f t="shared" si="3"/>
        <v>514.15126870433562</v>
      </c>
      <c r="J4" s="2">
        <f t="shared" si="4"/>
        <v>145.55036490414432</v>
      </c>
      <c r="K4" s="2">
        <f t="shared" si="5"/>
        <v>0.13152829068022959</v>
      </c>
    </row>
    <row r="5" spans="1:11" ht="14.4">
      <c r="A5" s="2">
        <v>3851</v>
      </c>
      <c r="B5" s="2">
        <v>3850</v>
      </c>
      <c r="C5" s="2">
        <f t="shared" si="0"/>
        <v>0.112</v>
      </c>
      <c r="D5" s="2">
        <v>0.01</v>
      </c>
      <c r="E5" s="2">
        <v>69.900000000000006</v>
      </c>
      <c r="F5" s="2">
        <f t="shared" si="6"/>
        <v>0.13152829068022959</v>
      </c>
      <c r="G5" s="2">
        <f t="shared" si="1"/>
        <v>5.900036348864662E-3</v>
      </c>
      <c r="H5" s="2">
        <f t="shared" si="2"/>
        <v>-3.8117748919336329E-2</v>
      </c>
      <c r="I5" s="2">
        <f t="shared" si="3"/>
        <v>514.1443134692355</v>
      </c>
      <c r="J5" s="2">
        <f t="shared" si="4"/>
        <v>70.185539929869719</v>
      </c>
      <c r="K5" s="2">
        <f t="shared" si="5"/>
        <v>0.13097292145336212</v>
      </c>
    </row>
    <row r="6" spans="1:11" ht="14.4">
      <c r="A6" s="2">
        <v>3851</v>
      </c>
      <c r="B6" s="2">
        <v>3850</v>
      </c>
      <c r="C6" s="2">
        <f t="shared" si="0"/>
        <v>0.112</v>
      </c>
      <c r="D6" s="2">
        <v>0.01</v>
      </c>
      <c r="E6" s="2">
        <v>69.900000000000006</v>
      </c>
      <c r="F6" s="2">
        <f t="shared" si="6"/>
        <v>0.13097292145336212</v>
      </c>
      <c r="G6" s="2">
        <f t="shared" si="1"/>
        <v>5.9250544868828005E-3</v>
      </c>
      <c r="H6" s="2">
        <f t="shared" si="2"/>
        <v>-3.7906868688483336E-2</v>
      </c>
      <c r="I6" s="2">
        <f t="shared" si="3"/>
        <v>514.14423741656321</v>
      </c>
      <c r="J6" s="2">
        <f t="shared" si="4"/>
        <v>69.900674707898816</v>
      </c>
    </row>
    <row r="7" spans="1:11" ht="14.4">
      <c r="A7" s="2">
        <v>3851</v>
      </c>
      <c r="B7" s="2">
        <v>3850</v>
      </c>
      <c r="C7" s="2">
        <f t="shared" si="0"/>
        <v>0.112</v>
      </c>
      <c r="D7" s="2">
        <v>0.01</v>
      </c>
      <c r="E7" s="2">
        <v>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000"/>
  <sheetViews>
    <sheetView workbookViewId="0"/>
  </sheetViews>
  <sheetFormatPr defaultColWidth="14.44140625" defaultRowHeight="15" customHeight="1"/>
  <cols>
    <col min="1" max="1" width="11.88671875" customWidth="1"/>
    <col min="2" max="2" width="14" customWidth="1"/>
    <col min="3" max="3" width="12.33203125" customWidth="1"/>
    <col min="4" max="4" width="9.88671875" customWidth="1"/>
    <col min="5" max="5" width="10.44140625" customWidth="1"/>
    <col min="6" max="6" width="18.6640625" customWidth="1"/>
    <col min="7" max="7" width="16.33203125" customWidth="1"/>
    <col min="8" max="8" width="23.44140625" customWidth="1"/>
    <col min="9" max="9" width="18.109375" customWidth="1"/>
    <col min="10" max="10" width="16.44140625" customWidth="1"/>
    <col min="11" max="11" width="14.6640625" customWidth="1"/>
    <col min="12" max="26" width="8.6640625" customWidth="1"/>
  </cols>
  <sheetData>
    <row r="1" spans="1:11" ht="14.4">
      <c r="A1" s="11" t="s">
        <v>271</v>
      </c>
      <c r="B1" s="6" t="s">
        <v>165</v>
      </c>
      <c r="C1" s="6" t="s">
        <v>272</v>
      </c>
      <c r="D1" s="11" t="s">
        <v>273</v>
      </c>
      <c r="E1" s="6" t="s">
        <v>274</v>
      </c>
      <c r="F1" s="6" t="s">
        <v>275</v>
      </c>
      <c r="G1" s="6" t="s">
        <v>276</v>
      </c>
      <c r="H1" s="6" t="s">
        <v>277</v>
      </c>
      <c r="I1" s="6" t="s">
        <v>278</v>
      </c>
      <c r="J1" s="6" t="s">
        <v>279</v>
      </c>
      <c r="K1" s="11" t="s">
        <v>280</v>
      </c>
    </row>
    <row r="2" spans="1:11" ht="28.8">
      <c r="A2" s="11" t="s">
        <v>281</v>
      </c>
      <c r="B2" s="121">
        <v>44922</v>
      </c>
      <c r="C2" s="6">
        <v>7554</v>
      </c>
      <c r="D2" s="11">
        <v>374.85</v>
      </c>
      <c r="E2" s="6">
        <v>5.2200000000000003E-2</v>
      </c>
      <c r="F2" s="11" t="s">
        <v>282</v>
      </c>
      <c r="G2" s="6">
        <v>7554</v>
      </c>
      <c r="H2" s="11" t="s">
        <v>283</v>
      </c>
      <c r="I2" s="6">
        <v>5.67</v>
      </c>
      <c r="J2" s="11" t="s">
        <v>284</v>
      </c>
      <c r="K2" s="122" t="s">
        <v>285</v>
      </c>
    </row>
    <row r="3" spans="1:11" ht="28.8">
      <c r="A3" s="11" t="s">
        <v>166</v>
      </c>
      <c r="B3" s="121">
        <v>44980</v>
      </c>
      <c r="C3" s="6">
        <v>18848.3</v>
      </c>
      <c r="D3" s="11">
        <v>57.05</v>
      </c>
      <c r="E3" s="6">
        <v>3.0000000000000001E-3</v>
      </c>
      <c r="F3" s="11" t="s">
        <v>286</v>
      </c>
      <c r="G3" s="6">
        <v>18811.650000000001</v>
      </c>
      <c r="H3" s="11" t="s">
        <v>287</v>
      </c>
      <c r="I3" s="6">
        <v>24436.33</v>
      </c>
      <c r="J3" s="11" t="s">
        <v>288</v>
      </c>
      <c r="K3" s="122" t="s">
        <v>289</v>
      </c>
    </row>
    <row r="4" spans="1:11" ht="28.8">
      <c r="A4" s="11" t="s">
        <v>166</v>
      </c>
      <c r="B4" s="121">
        <v>44951</v>
      </c>
      <c r="C4" s="6">
        <v>18752.599999999999</v>
      </c>
      <c r="D4" s="11">
        <v>36.299999999999997</v>
      </c>
      <c r="E4" s="6">
        <v>1.9E-3</v>
      </c>
      <c r="F4" s="11" t="s">
        <v>290</v>
      </c>
      <c r="G4" s="6">
        <v>18726.5</v>
      </c>
      <c r="H4" s="11" t="s">
        <v>291</v>
      </c>
      <c r="I4" s="6">
        <v>86076.36</v>
      </c>
      <c r="J4" s="11" t="s">
        <v>292</v>
      </c>
      <c r="K4" s="122" t="s">
        <v>293</v>
      </c>
    </row>
    <row r="5" spans="1:11" ht="28.8">
      <c r="A5" s="11" t="s">
        <v>166</v>
      </c>
      <c r="B5" s="121">
        <v>44924</v>
      </c>
      <c r="C5" s="6">
        <v>18649</v>
      </c>
      <c r="D5" s="11">
        <v>22.85</v>
      </c>
      <c r="E5" s="6">
        <v>1.1999999999999999E-3</v>
      </c>
      <c r="F5" s="11" t="s">
        <v>294</v>
      </c>
      <c r="G5" s="6">
        <v>18622.23</v>
      </c>
      <c r="H5" s="11" t="s">
        <v>295</v>
      </c>
      <c r="I5" s="6">
        <v>1171571.04</v>
      </c>
      <c r="J5" s="11" t="s">
        <v>296</v>
      </c>
      <c r="K5" s="122" t="s">
        <v>297</v>
      </c>
    </row>
    <row r="6" spans="1:11" ht="28.8">
      <c r="A6" s="11" t="s">
        <v>298</v>
      </c>
      <c r="B6" s="121">
        <v>44951</v>
      </c>
      <c r="C6" s="6">
        <v>43550</v>
      </c>
      <c r="D6" s="11">
        <v>32.6</v>
      </c>
      <c r="E6" s="6">
        <v>6.9999999999999999E-4</v>
      </c>
      <c r="F6" s="11" t="s">
        <v>299</v>
      </c>
      <c r="G6" s="6">
        <v>43589.43</v>
      </c>
      <c r="H6" s="11" t="s">
        <v>300</v>
      </c>
      <c r="I6" s="6">
        <v>54824.61</v>
      </c>
      <c r="J6" s="11" t="s">
        <v>301</v>
      </c>
      <c r="K6" s="122" t="s">
        <v>302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000"/>
  <sheetViews>
    <sheetView workbookViewId="0"/>
  </sheetViews>
  <sheetFormatPr defaultColWidth="14.44140625" defaultRowHeight="15" customHeight="1"/>
  <cols>
    <col min="1" max="1" width="11" customWidth="1"/>
    <col min="2" max="2" width="14" customWidth="1"/>
    <col min="3" max="3" width="12.33203125" customWidth="1"/>
    <col min="4" max="4" width="9.88671875" customWidth="1"/>
    <col min="5" max="5" width="10.44140625" customWidth="1"/>
    <col min="6" max="6" width="18.6640625" customWidth="1"/>
    <col min="7" max="7" width="16.33203125" customWidth="1"/>
    <col min="8" max="8" width="23.44140625" customWidth="1"/>
    <col min="9" max="9" width="18.109375" customWidth="1"/>
    <col min="10" max="10" width="16.44140625" customWidth="1"/>
    <col min="11" max="11" width="14.6640625" customWidth="1"/>
    <col min="12" max="26" width="8.6640625" customWidth="1"/>
  </cols>
  <sheetData>
    <row r="1" spans="1:11" ht="14.4">
      <c r="A1" s="11" t="s">
        <v>271</v>
      </c>
      <c r="B1" s="6" t="s">
        <v>165</v>
      </c>
      <c r="C1" s="6" t="s">
        <v>272</v>
      </c>
      <c r="D1" s="11" t="s">
        <v>273</v>
      </c>
      <c r="E1" s="6" t="s">
        <v>274</v>
      </c>
      <c r="F1" s="6" t="s">
        <v>275</v>
      </c>
      <c r="G1" s="6" t="s">
        <v>276</v>
      </c>
      <c r="H1" s="6" t="s">
        <v>277</v>
      </c>
      <c r="I1" s="6" t="s">
        <v>278</v>
      </c>
      <c r="J1" s="6" t="s">
        <v>279</v>
      </c>
      <c r="K1" s="11" t="s">
        <v>280</v>
      </c>
    </row>
    <row r="2" spans="1:11" ht="28.8">
      <c r="A2" s="11" t="s">
        <v>303</v>
      </c>
      <c r="B2" s="121">
        <v>44922</v>
      </c>
      <c r="C2" s="6">
        <v>19378.150000000001</v>
      </c>
      <c r="D2" s="11">
        <v>-48.3</v>
      </c>
      <c r="E2" s="6">
        <v>-2.5000000000000001E-3</v>
      </c>
      <c r="F2" s="11" t="s">
        <v>304</v>
      </c>
      <c r="G2" s="6">
        <v>19460.669999999998</v>
      </c>
      <c r="H2" s="11" t="s">
        <v>305</v>
      </c>
      <c r="I2" s="6">
        <v>1229.9100000000001</v>
      </c>
      <c r="J2" s="11">
        <v>4480</v>
      </c>
      <c r="K2" s="122" t="s">
        <v>306</v>
      </c>
    </row>
    <row r="3" spans="1:11" ht="28.8">
      <c r="A3" s="11" t="s">
        <v>303</v>
      </c>
      <c r="B3" s="121">
        <v>44894</v>
      </c>
      <c r="C3" s="6">
        <v>19232.099999999999</v>
      </c>
      <c r="D3" s="11">
        <v>-46.15</v>
      </c>
      <c r="E3" s="6">
        <v>-2.3999999999999998E-3</v>
      </c>
      <c r="F3" s="11" t="s">
        <v>307</v>
      </c>
      <c r="G3" s="6">
        <v>19253.099999999999</v>
      </c>
      <c r="H3" s="11" t="s">
        <v>308</v>
      </c>
      <c r="I3" s="6">
        <v>2718.54</v>
      </c>
      <c r="J3" s="11">
        <v>6240</v>
      </c>
      <c r="K3" s="122" t="s">
        <v>309</v>
      </c>
    </row>
    <row r="4" spans="1:11" ht="28.8">
      <c r="A4" s="11" t="s">
        <v>298</v>
      </c>
      <c r="B4" s="121">
        <v>44924</v>
      </c>
      <c r="C4" s="6">
        <v>43272</v>
      </c>
      <c r="D4" s="11">
        <v>-12.25</v>
      </c>
      <c r="E4" s="6">
        <v>-2.9999999999999997E-4</v>
      </c>
      <c r="F4" s="11" t="s">
        <v>310</v>
      </c>
      <c r="G4" s="6">
        <v>43321.29</v>
      </c>
      <c r="H4" s="11" t="s">
        <v>311</v>
      </c>
      <c r="I4" s="6">
        <v>1260974.45</v>
      </c>
      <c r="J4" s="11">
        <v>2790325</v>
      </c>
      <c r="K4" s="122" t="s">
        <v>312</v>
      </c>
    </row>
    <row r="5" spans="1:11" ht="28.8">
      <c r="A5" s="11" t="s">
        <v>298</v>
      </c>
      <c r="B5" s="121">
        <v>44980</v>
      </c>
      <c r="C5" s="6">
        <v>43785</v>
      </c>
      <c r="D5" s="11">
        <v>-6.15</v>
      </c>
      <c r="E5" s="6">
        <v>-1E-4</v>
      </c>
      <c r="F5" s="11" t="s">
        <v>313</v>
      </c>
      <c r="G5" s="6">
        <v>43834.14</v>
      </c>
      <c r="H5" s="11" t="s">
        <v>314</v>
      </c>
      <c r="I5" s="6">
        <v>14476.22</v>
      </c>
      <c r="J5" s="11">
        <v>12900</v>
      </c>
      <c r="K5" s="122" t="s">
        <v>315</v>
      </c>
    </row>
    <row r="6" spans="1:11" ht="28.8">
      <c r="A6" s="11" t="s">
        <v>303</v>
      </c>
      <c r="B6" s="121">
        <v>44957</v>
      </c>
      <c r="C6" s="6">
        <v>19420</v>
      </c>
      <c r="D6" s="11">
        <v>-0.2</v>
      </c>
      <c r="E6" s="6">
        <v>0</v>
      </c>
      <c r="F6" s="11" t="s">
        <v>316</v>
      </c>
      <c r="G6" s="6">
        <v>19419.97</v>
      </c>
      <c r="H6" s="11" t="s">
        <v>317</v>
      </c>
      <c r="I6" s="6">
        <v>15.54</v>
      </c>
      <c r="J6" s="11">
        <v>200</v>
      </c>
      <c r="K6" s="122" t="s">
        <v>318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1000"/>
  <sheetViews>
    <sheetView workbookViewId="0"/>
  </sheetViews>
  <sheetFormatPr defaultColWidth="14.44140625" defaultRowHeight="15" customHeight="1"/>
  <cols>
    <col min="1" max="1" width="11.6640625" customWidth="1"/>
    <col min="2" max="2" width="17.88671875" customWidth="1"/>
    <col min="3" max="3" width="11" customWidth="1"/>
    <col min="4" max="4" width="10.6640625" customWidth="1"/>
    <col min="5" max="5" width="8" customWidth="1"/>
    <col min="6" max="6" width="9.88671875" customWidth="1"/>
    <col min="7" max="7" width="7.6640625" customWidth="1"/>
    <col min="8" max="8" width="8.109375" customWidth="1"/>
    <col min="9" max="9" width="10.5546875" customWidth="1"/>
    <col min="10" max="10" width="13.6640625" customWidth="1"/>
    <col min="11" max="11" width="11.6640625" customWidth="1"/>
    <col min="12" max="12" width="10.33203125" customWidth="1"/>
    <col min="13" max="14" width="14.6640625" customWidth="1"/>
    <col min="15" max="15" width="11.109375" customWidth="1"/>
    <col min="16" max="16" width="8.6640625" customWidth="1"/>
    <col min="17" max="17" width="11" customWidth="1"/>
    <col min="18" max="26" width="8.6640625" customWidth="1"/>
  </cols>
  <sheetData>
    <row r="1" spans="1:17" ht="28.8">
      <c r="A1" s="2" t="s">
        <v>202</v>
      </c>
      <c r="C1" s="11" t="s">
        <v>271</v>
      </c>
      <c r="D1" s="122" t="s">
        <v>165</v>
      </c>
      <c r="E1" s="122" t="s">
        <v>272</v>
      </c>
      <c r="F1" s="11" t="s">
        <v>273</v>
      </c>
      <c r="G1" s="122" t="s">
        <v>274</v>
      </c>
      <c r="H1" s="122" t="s">
        <v>275</v>
      </c>
      <c r="I1" s="122" t="s">
        <v>276</v>
      </c>
      <c r="J1" s="122" t="s">
        <v>277</v>
      </c>
      <c r="K1" s="122" t="s">
        <v>278</v>
      </c>
      <c r="L1" s="122" t="s">
        <v>279</v>
      </c>
      <c r="M1" s="122" t="s">
        <v>280</v>
      </c>
      <c r="N1" s="1"/>
    </row>
    <row r="2" spans="1:17" ht="57.6">
      <c r="A2" s="123" t="str">
        <f>Q2 &amp; " " &amp;'ALL FUT'!$D2</f>
        <v>NIFTY 44980</v>
      </c>
      <c r="C2" s="11" t="s">
        <v>166</v>
      </c>
      <c r="D2" s="121">
        <v>44980</v>
      </c>
      <c r="E2" s="11">
        <v>18848.3</v>
      </c>
      <c r="F2" s="11">
        <v>57.05</v>
      </c>
      <c r="G2" s="11">
        <v>3.0000000000000001E-3</v>
      </c>
      <c r="H2" s="122" t="s">
        <v>286</v>
      </c>
      <c r="I2" s="11">
        <v>18811.650000000001</v>
      </c>
      <c r="J2" s="122" t="s">
        <v>287</v>
      </c>
      <c r="K2" s="122">
        <v>24436.33</v>
      </c>
      <c r="L2" s="11" t="s">
        <v>288</v>
      </c>
      <c r="M2" s="122" t="s">
        <v>289</v>
      </c>
      <c r="N2" s="124"/>
      <c r="Q2" s="2" t="str">
        <f>'ALL FUT'!$C2</f>
        <v>NIFTY</v>
      </c>
    </row>
    <row r="3" spans="1:17" ht="57.6">
      <c r="A3" s="123" t="str">
        <f>Q3 &amp; " " &amp;'ALL FUT'!$D3</f>
        <v>NIFTY 44951</v>
      </c>
      <c r="C3" s="11" t="s">
        <v>166</v>
      </c>
      <c r="D3" s="121">
        <v>44951</v>
      </c>
      <c r="E3" s="11">
        <v>18752.599999999999</v>
      </c>
      <c r="F3" s="11">
        <v>36.299999999999997</v>
      </c>
      <c r="G3" s="11">
        <v>1.9E-3</v>
      </c>
      <c r="H3" s="122" t="s">
        <v>290</v>
      </c>
      <c r="I3" s="11">
        <v>18726.5</v>
      </c>
      <c r="J3" s="122" t="s">
        <v>291</v>
      </c>
      <c r="K3" s="122">
        <v>86076.36</v>
      </c>
      <c r="L3" s="11" t="s">
        <v>292</v>
      </c>
      <c r="M3" s="122" t="s">
        <v>293</v>
      </c>
      <c r="N3" s="124"/>
      <c r="Q3" s="2" t="str">
        <f>'ALL FUT'!$C3</f>
        <v>NIFTY</v>
      </c>
    </row>
    <row r="4" spans="1:17" ht="57.6">
      <c r="A4" s="123" t="str">
        <f>Q4 &amp; " " &amp;'ALL FUT'!$D4</f>
        <v>NIFTY 44924</v>
      </c>
      <c r="C4" s="11" t="s">
        <v>166</v>
      </c>
      <c r="D4" s="121">
        <v>44924</v>
      </c>
      <c r="E4" s="11">
        <v>18649</v>
      </c>
      <c r="F4" s="11">
        <v>22.85</v>
      </c>
      <c r="G4" s="11">
        <v>1.1999999999999999E-3</v>
      </c>
      <c r="H4" s="122" t="s">
        <v>294</v>
      </c>
      <c r="I4" s="11">
        <v>18622.23</v>
      </c>
      <c r="J4" s="122" t="s">
        <v>295</v>
      </c>
      <c r="K4" s="122">
        <v>1171571.04</v>
      </c>
      <c r="L4" s="11" t="s">
        <v>296</v>
      </c>
      <c r="M4" s="122" t="s">
        <v>297</v>
      </c>
      <c r="N4" s="124"/>
      <c r="Q4" s="2" t="str">
        <f>'ALL FUT'!$C4</f>
        <v>NIFTY</v>
      </c>
    </row>
    <row r="5" spans="1:17" ht="57.6">
      <c r="A5" s="123" t="str">
        <f>Q5 &amp; " " &amp;'ALL FUT'!$D5</f>
        <v>BANKNIFTY 44951</v>
      </c>
      <c r="C5" s="11" t="s">
        <v>298</v>
      </c>
      <c r="D5" s="121">
        <v>44951</v>
      </c>
      <c r="E5" s="11">
        <v>43550</v>
      </c>
      <c r="F5" s="11">
        <v>32.6</v>
      </c>
      <c r="G5" s="11">
        <v>6.9999999999999999E-4</v>
      </c>
      <c r="H5" s="122" t="s">
        <v>299</v>
      </c>
      <c r="I5" s="11">
        <v>43589.43</v>
      </c>
      <c r="J5" s="122" t="s">
        <v>300</v>
      </c>
      <c r="K5" s="122">
        <v>54824.61</v>
      </c>
      <c r="L5" s="11" t="s">
        <v>301</v>
      </c>
      <c r="M5" s="122" t="s">
        <v>302</v>
      </c>
      <c r="N5" s="124"/>
      <c r="Q5" s="2" t="str">
        <f>'ALL FUT'!$C5</f>
        <v>BANKNIFTY</v>
      </c>
    </row>
    <row r="6" spans="1:17" ht="57.6">
      <c r="A6" s="123" t="str">
        <f>Q6 &amp; " " &amp;'ALL FUT'!$D6</f>
        <v>BANKNIFTY 44924</v>
      </c>
      <c r="C6" s="11" t="s">
        <v>298</v>
      </c>
      <c r="D6" s="121">
        <v>44924</v>
      </c>
      <c r="E6" s="11">
        <v>43272</v>
      </c>
      <c r="F6" s="11">
        <v>-12.25</v>
      </c>
      <c r="G6" s="11">
        <v>-2.9999999999999997E-4</v>
      </c>
      <c r="H6" s="122" t="s">
        <v>310</v>
      </c>
      <c r="I6" s="11">
        <v>43321.29</v>
      </c>
      <c r="J6" s="122" t="s">
        <v>311</v>
      </c>
      <c r="K6" s="122">
        <v>1260974.45</v>
      </c>
      <c r="L6" s="11">
        <v>2790325</v>
      </c>
      <c r="M6" s="122" t="s">
        <v>312</v>
      </c>
      <c r="N6" s="124"/>
      <c r="Q6" s="2" t="str">
        <f>'ALL FUT'!$C6</f>
        <v>BANKNIFTY</v>
      </c>
    </row>
    <row r="7" spans="1:17" ht="57.6">
      <c r="A7" s="123" t="str">
        <f>Q7 &amp; " " &amp;'ALL FUT'!$D7</f>
        <v>BANKNIFTY 44980</v>
      </c>
      <c r="C7" s="11" t="s">
        <v>298</v>
      </c>
      <c r="D7" s="121">
        <v>44980</v>
      </c>
      <c r="E7" s="11">
        <v>43785</v>
      </c>
      <c r="F7" s="11">
        <v>-6.15</v>
      </c>
      <c r="G7" s="11">
        <v>-1E-4</v>
      </c>
      <c r="H7" s="122" t="s">
        <v>313</v>
      </c>
      <c r="I7" s="11">
        <v>43834.14</v>
      </c>
      <c r="J7" s="122" t="s">
        <v>314</v>
      </c>
      <c r="K7" s="122">
        <v>14476.22</v>
      </c>
      <c r="L7" s="11">
        <v>12900</v>
      </c>
      <c r="M7" s="122" t="s">
        <v>315</v>
      </c>
      <c r="N7" s="124"/>
      <c r="Q7" s="2" t="str">
        <f>'ALL FUT'!$C7</f>
        <v>BANKNIFTY</v>
      </c>
    </row>
    <row r="8" spans="1:17" ht="14.4">
      <c r="A8" s="123" t="e">
        <f>Q8 &amp; " " &amp;#REF!</f>
        <v>#REF!</v>
      </c>
      <c r="N8" s="124"/>
      <c r="Q8" s="2" t="e">
        <f>#REF!</f>
        <v>#REF!</v>
      </c>
    </row>
    <row r="9" spans="1:17" ht="14.4">
      <c r="A9" s="123" t="e">
        <f>Q9 &amp; " " &amp;#REF!</f>
        <v>#REF!</v>
      </c>
      <c r="Q9" s="2" t="e">
        <f>#REF!</f>
        <v>#REF!</v>
      </c>
    </row>
    <row r="10" spans="1:17" ht="14.4">
      <c r="A10" s="123" t="e">
        <f>Q10 &amp; " " &amp;#REF!</f>
        <v>#REF!</v>
      </c>
      <c r="Q10" s="2" t="e">
        <f>#REF!</f>
        <v>#REF!</v>
      </c>
    </row>
    <row r="11" spans="1:17" ht="14.4">
      <c r="A11" s="123" t="e">
        <f>Q11 &amp; " " &amp;#REF!</f>
        <v>#REF!</v>
      </c>
      <c r="Q11" s="2" t="e">
        <f>#REF!</f>
        <v>#REF!</v>
      </c>
    </row>
    <row r="12" spans="1:17" ht="14.4">
      <c r="A12" s="123" t="e">
        <f>Q12 &amp; " " &amp;#REF!</f>
        <v>#REF!</v>
      </c>
      <c r="Q12" s="2" t="e">
        <f>#REF!</f>
        <v>#REF!</v>
      </c>
    </row>
    <row r="13" spans="1:17" ht="14.4">
      <c r="A13" s="123" t="e">
        <f>Q13 &amp; " " &amp;#REF!</f>
        <v>#REF!</v>
      </c>
      <c r="Q13" s="2" t="e">
        <f>#REF!</f>
        <v>#REF!</v>
      </c>
    </row>
    <row r="14" spans="1:17" ht="14.4">
      <c r="A14" s="123" t="e">
        <f>Q14 &amp; " " &amp;#REF!</f>
        <v>#REF!</v>
      </c>
      <c r="Q14" s="2" t="e">
        <f>#REF!</f>
        <v>#REF!</v>
      </c>
    </row>
    <row r="15" spans="1:17" ht="14.4">
      <c r="A15" s="123" t="e">
        <f>Q15 &amp; " " &amp;#REF!</f>
        <v>#REF!</v>
      </c>
      <c r="Q15" s="2" t="e">
        <f t="shared" ref="Q15:Q685" si="0">#REF!</f>
        <v>#REF!</v>
      </c>
    </row>
    <row r="16" spans="1:17" ht="14.4">
      <c r="A16" s="123" t="e">
        <f t="shared" ref="A16:A457" si="1">Q16 &amp; " " &amp;#REF!</f>
        <v>#REF!</v>
      </c>
      <c r="Q16" s="2" t="e">
        <f t="shared" si="0"/>
        <v>#REF!</v>
      </c>
    </row>
    <row r="17" spans="1:17" ht="14.4">
      <c r="A17" s="123" t="e">
        <f t="shared" si="1"/>
        <v>#REF!</v>
      </c>
      <c r="Q17" s="2" t="e">
        <f t="shared" si="0"/>
        <v>#REF!</v>
      </c>
    </row>
    <row r="18" spans="1:17" ht="14.4">
      <c r="A18" s="123" t="e">
        <f t="shared" si="1"/>
        <v>#REF!</v>
      </c>
      <c r="Q18" s="2" t="e">
        <f t="shared" si="0"/>
        <v>#REF!</v>
      </c>
    </row>
    <row r="19" spans="1:17" ht="14.4">
      <c r="A19" s="123" t="e">
        <f t="shared" si="1"/>
        <v>#REF!</v>
      </c>
      <c r="Q19" s="2" t="e">
        <f t="shared" si="0"/>
        <v>#REF!</v>
      </c>
    </row>
    <row r="20" spans="1:17" ht="14.4">
      <c r="A20" s="123" t="e">
        <f t="shared" si="1"/>
        <v>#REF!</v>
      </c>
      <c r="Q20" s="2" t="e">
        <f t="shared" si="0"/>
        <v>#REF!</v>
      </c>
    </row>
    <row r="21" spans="1:17" ht="15.75" customHeight="1">
      <c r="A21" s="123" t="e">
        <f t="shared" si="1"/>
        <v>#REF!</v>
      </c>
      <c r="Q21" s="2" t="e">
        <f t="shared" si="0"/>
        <v>#REF!</v>
      </c>
    </row>
    <row r="22" spans="1:17" ht="15.75" customHeight="1">
      <c r="A22" s="123" t="e">
        <f t="shared" si="1"/>
        <v>#REF!</v>
      </c>
      <c r="Q22" s="2" t="e">
        <f t="shared" si="0"/>
        <v>#REF!</v>
      </c>
    </row>
    <row r="23" spans="1:17" ht="15.75" customHeight="1">
      <c r="A23" s="123" t="e">
        <f t="shared" si="1"/>
        <v>#REF!</v>
      </c>
      <c r="Q23" s="2" t="e">
        <f t="shared" si="0"/>
        <v>#REF!</v>
      </c>
    </row>
    <row r="24" spans="1:17" ht="15.75" customHeight="1">
      <c r="A24" s="123" t="e">
        <f t="shared" si="1"/>
        <v>#REF!</v>
      </c>
      <c r="Q24" s="2" t="e">
        <f t="shared" si="0"/>
        <v>#REF!</v>
      </c>
    </row>
    <row r="25" spans="1:17" ht="15.75" customHeight="1">
      <c r="A25" s="123" t="e">
        <f t="shared" si="1"/>
        <v>#REF!</v>
      </c>
      <c r="Q25" s="2" t="e">
        <f t="shared" si="0"/>
        <v>#REF!</v>
      </c>
    </row>
    <row r="26" spans="1:17" ht="15.75" customHeight="1">
      <c r="A26" s="123" t="e">
        <f t="shared" si="1"/>
        <v>#REF!</v>
      </c>
      <c r="Q26" s="2" t="e">
        <f t="shared" si="0"/>
        <v>#REF!</v>
      </c>
    </row>
    <row r="27" spans="1:17" ht="15.75" customHeight="1">
      <c r="A27" s="123" t="e">
        <f t="shared" si="1"/>
        <v>#REF!</v>
      </c>
      <c r="Q27" s="2" t="e">
        <f t="shared" si="0"/>
        <v>#REF!</v>
      </c>
    </row>
    <row r="28" spans="1:17" ht="15.75" customHeight="1">
      <c r="A28" s="123" t="e">
        <f t="shared" si="1"/>
        <v>#REF!</v>
      </c>
      <c r="Q28" s="2" t="e">
        <f t="shared" si="0"/>
        <v>#REF!</v>
      </c>
    </row>
    <row r="29" spans="1:17" ht="15.75" customHeight="1">
      <c r="A29" s="123" t="e">
        <f t="shared" si="1"/>
        <v>#REF!</v>
      </c>
      <c r="Q29" s="2" t="e">
        <f t="shared" si="0"/>
        <v>#REF!</v>
      </c>
    </row>
    <row r="30" spans="1:17" ht="15.75" customHeight="1">
      <c r="A30" s="123" t="e">
        <f t="shared" si="1"/>
        <v>#REF!</v>
      </c>
      <c r="Q30" s="2" t="e">
        <f t="shared" si="0"/>
        <v>#REF!</v>
      </c>
    </row>
    <row r="31" spans="1:17" ht="15.75" customHeight="1">
      <c r="A31" s="123" t="e">
        <f t="shared" si="1"/>
        <v>#REF!</v>
      </c>
      <c r="Q31" s="2" t="e">
        <f t="shared" si="0"/>
        <v>#REF!</v>
      </c>
    </row>
    <row r="32" spans="1:17" ht="15.75" customHeight="1">
      <c r="A32" s="123" t="e">
        <f t="shared" si="1"/>
        <v>#REF!</v>
      </c>
      <c r="Q32" s="2" t="e">
        <f t="shared" si="0"/>
        <v>#REF!</v>
      </c>
    </row>
    <row r="33" spans="1:17" ht="15.75" customHeight="1">
      <c r="A33" s="123" t="e">
        <f t="shared" si="1"/>
        <v>#REF!</v>
      </c>
      <c r="Q33" s="2" t="e">
        <f t="shared" si="0"/>
        <v>#REF!</v>
      </c>
    </row>
    <row r="34" spans="1:17" ht="15.75" customHeight="1">
      <c r="A34" s="123" t="e">
        <f t="shared" si="1"/>
        <v>#REF!</v>
      </c>
      <c r="Q34" s="2" t="e">
        <f t="shared" si="0"/>
        <v>#REF!</v>
      </c>
    </row>
    <row r="35" spans="1:17" ht="15.75" customHeight="1">
      <c r="A35" s="123" t="e">
        <f t="shared" si="1"/>
        <v>#REF!</v>
      </c>
      <c r="Q35" s="2" t="e">
        <f t="shared" si="0"/>
        <v>#REF!</v>
      </c>
    </row>
    <row r="36" spans="1:17" ht="15.75" customHeight="1">
      <c r="A36" s="123" t="e">
        <f t="shared" si="1"/>
        <v>#REF!</v>
      </c>
      <c r="Q36" s="2" t="e">
        <f t="shared" si="0"/>
        <v>#REF!</v>
      </c>
    </row>
    <row r="37" spans="1:17" ht="15.75" customHeight="1">
      <c r="A37" s="123" t="e">
        <f t="shared" si="1"/>
        <v>#REF!</v>
      </c>
      <c r="Q37" s="2" t="e">
        <f t="shared" si="0"/>
        <v>#REF!</v>
      </c>
    </row>
    <row r="38" spans="1:17" ht="15.75" customHeight="1">
      <c r="A38" s="123" t="e">
        <f t="shared" si="1"/>
        <v>#REF!</v>
      </c>
      <c r="Q38" s="2" t="e">
        <f t="shared" si="0"/>
        <v>#REF!</v>
      </c>
    </row>
    <row r="39" spans="1:17" ht="15.75" customHeight="1">
      <c r="A39" s="123" t="e">
        <f t="shared" si="1"/>
        <v>#REF!</v>
      </c>
      <c r="Q39" s="2" t="e">
        <f t="shared" si="0"/>
        <v>#REF!</v>
      </c>
    </row>
    <row r="40" spans="1:17" ht="15.75" customHeight="1">
      <c r="A40" s="123" t="e">
        <f t="shared" si="1"/>
        <v>#REF!</v>
      </c>
      <c r="Q40" s="2" t="e">
        <f t="shared" si="0"/>
        <v>#REF!</v>
      </c>
    </row>
    <row r="41" spans="1:17" ht="15.75" customHeight="1">
      <c r="A41" s="123" t="e">
        <f t="shared" si="1"/>
        <v>#REF!</v>
      </c>
      <c r="Q41" s="2" t="e">
        <f t="shared" si="0"/>
        <v>#REF!</v>
      </c>
    </row>
    <row r="42" spans="1:17" ht="15.75" customHeight="1">
      <c r="A42" s="123" t="e">
        <f t="shared" si="1"/>
        <v>#REF!</v>
      </c>
      <c r="Q42" s="2" t="e">
        <f t="shared" si="0"/>
        <v>#REF!</v>
      </c>
    </row>
    <row r="43" spans="1:17" ht="15.75" customHeight="1">
      <c r="A43" s="123" t="e">
        <f t="shared" si="1"/>
        <v>#REF!</v>
      </c>
      <c r="Q43" s="2" t="e">
        <f t="shared" si="0"/>
        <v>#REF!</v>
      </c>
    </row>
    <row r="44" spans="1:17" ht="15.75" customHeight="1">
      <c r="A44" s="123" t="e">
        <f t="shared" si="1"/>
        <v>#REF!</v>
      </c>
      <c r="Q44" s="2" t="e">
        <f t="shared" si="0"/>
        <v>#REF!</v>
      </c>
    </row>
    <row r="45" spans="1:17" ht="15.75" customHeight="1">
      <c r="A45" s="123" t="e">
        <f t="shared" si="1"/>
        <v>#REF!</v>
      </c>
      <c r="Q45" s="2" t="e">
        <f t="shared" si="0"/>
        <v>#REF!</v>
      </c>
    </row>
    <row r="46" spans="1:17" ht="15.75" customHeight="1">
      <c r="A46" s="123" t="e">
        <f t="shared" si="1"/>
        <v>#REF!</v>
      </c>
      <c r="Q46" s="2" t="e">
        <f t="shared" si="0"/>
        <v>#REF!</v>
      </c>
    </row>
    <row r="47" spans="1:17" ht="15.75" customHeight="1">
      <c r="A47" s="123" t="e">
        <f t="shared" si="1"/>
        <v>#REF!</v>
      </c>
      <c r="Q47" s="2" t="e">
        <f t="shared" si="0"/>
        <v>#REF!</v>
      </c>
    </row>
    <row r="48" spans="1:17" ht="15.75" customHeight="1">
      <c r="A48" s="123" t="e">
        <f t="shared" si="1"/>
        <v>#REF!</v>
      </c>
      <c r="Q48" s="2" t="e">
        <f t="shared" si="0"/>
        <v>#REF!</v>
      </c>
    </row>
    <row r="49" spans="1:17" ht="15.75" customHeight="1">
      <c r="A49" s="123" t="e">
        <f t="shared" si="1"/>
        <v>#REF!</v>
      </c>
      <c r="Q49" s="2" t="e">
        <f t="shared" si="0"/>
        <v>#REF!</v>
      </c>
    </row>
    <row r="50" spans="1:17" ht="15.75" customHeight="1">
      <c r="A50" s="123" t="e">
        <f t="shared" si="1"/>
        <v>#REF!</v>
      </c>
      <c r="Q50" s="2" t="e">
        <f t="shared" si="0"/>
        <v>#REF!</v>
      </c>
    </row>
    <row r="51" spans="1:17" ht="15.75" customHeight="1">
      <c r="A51" s="123" t="e">
        <f t="shared" si="1"/>
        <v>#REF!</v>
      </c>
      <c r="Q51" s="2" t="e">
        <f t="shared" si="0"/>
        <v>#REF!</v>
      </c>
    </row>
    <row r="52" spans="1:17" ht="15.75" customHeight="1">
      <c r="A52" s="123" t="e">
        <f t="shared" si="1"/>
        <v>#REF!</v>
      </c>
      <c r="Q52" s="2" t="e">
        <f t="shared" si="0"/>
        <v>#REF!</v>
      </c>
    </row>
    <row r="53" spans="1:17" ht="15.75" customHeight="1">
      <c r="A53" s="123" t="e">
        <f t="shared" si="1"/>
        <v>#REF!</v>
      </c>
      <c r="Q53" s="2" t="e">
        <f t="shared" si="0"/>
        <v>#REF!</v>
      </c>
    </row>
    <row r="54" spans="1:17" ht="15.75" customHeight="1">
      <c r="A54" s="123" t="e">
        <f t="shared" si="1"/>
        <v>#REF!</v>
      </c>
      <c r="Q54" s="2" t="e">
        <f t="shared" si="0"/>
        <v>#REF!</v>
      </c>
    </row>
    <row r="55" spans="1:17" ht="15.75" customHeight="1">
      <c r="A55" s="123" t="e">
        <f t="shared" si="1"/>
        <v>#REF!</v>
      </c>
      <c r="Q55" s="2" t="e">
        <f t="shared" si="0"/>
        <v>#REF!</v>
      </c>
    </row>
    <row r="56" spans="1:17" ht="15.75" customHeight="1">
      <c r="A56" s="123" t="e">
        <f t="shared" si="1"/>
        <v>#REF!</v>
      </c>
      <c r="Q56" s="2" t="e">
        <f t="shared" si="0"/>
        <v>#REF!</v>
      </c>
    </row>
    <row r="57" spans="1:17" ht="15.75" customHeight="1">
      <c r="A57" s="123" t="e">
        <f t="shared" si="1"/>
        <v>#REF!</v>
      </c>
      <c r="Q57" s="2" t="e">
        <f t="shared" si="0"/>
        <v>#REF!</v>
      </c>
    </row>
    <row r="58" spans="1:17" ht="15.75" customHeight="1">
      <c r="A58" s="123" t="e">
        <f t="shared" si="1"/>
        <v>#REF!</v>
      </c>
      <c r="Q58" s="2" t="e">
        <f t="shared" si="0"/>
        <v>#REF!</v>
      </c>
    </row>
    <row r="59" spans="1:17" ht="15.75" customHeight="1">
      <c r="A59" s="123" t="e">
        <f t="shared" si="1"/>
        <v>#REF!</v>
      </c>
      <c r="Q59" s="2" t="e">
        <f t="shared" si="0"/>
        <v>#REF!</v>
      </c>
    </row>
    <row r="60" spans="1:17" ht="15.75" customHeight="1">
      <c r="A60" s="123" t="e">
        <f t="shared" si="1"/>
        <v>#REF!</v>
      </c>
      <c r="Q60" s="2" t="e">
        <f t="shared" si="0"/>
        <v>#REF!</v>
      </c>
    </row>
    <row r="61" spans="1:17" ht="15.75" customHeight="1">
      <c r="A61" s="123" t="e">
        <f t="shared" si="1"/>
        <v>#REF!</v>
      </c>
      <c r="Q61" s="2" t="e">
        <f t="shared" si="0"/>
        <v>#REF!</v>
      </c>
    </row>
    <row r="62" spans="1:17" ht="15.75" customHeight="1">
      <c r="A62" s="123" t="e">
        <f t="shared" si="1"/>
        <v>#REF!</v>
      </c>
      <c r="Q62" s="2" t="e">
        <f t="shared" si="0"/>
        <v>#REF!</v>
      </c>
    </row>
    <row r="63" spans="1:17" ht="15.75" customHeight="1">
      <c r="A63" s="123" t="e">
        <f t="shared" si="1"/>
        <v>#REF!</v>
      </c>
      <c r="Q63" s="2" t="e">
        <f t="shared" si="0"/>
        <v>#REF!</v>
      </c>
    </row>
    <row r="64" spans="1:17" ht="15.75" customHeight="1">
      <c r="A64" s="123" t="e">
        <f t="shared" si="1"/>
        <v>#REF!</v>
      </c>
      <c r="Q64" s="2" t="e">
        <f t="shared" si="0"/>
        <v>#REF!</v>
      </c>
    </row>
    <row r="65" spans="1:17" ht="15.75" customHeight="1">
      <c r="A65" s="123" t="e">
        <f t="shared" si="1"/>
        <v>#REF!</v>
      </c>
      <c r="Q65" s="2" t="e">
        <f t="shared" si="0"/>
        <v>#REF!</v>
      </c>
    </row>
    <row r="66" spans="1:17" ht="15.75" customHeight="1">
      <c r="A66" s="123" t="e">
        <f t="shared" si="1"/>
        <v>#REF!</v>
      </c>
      <c r="Q66" s="2" t="e">
        <f t="shared" si="0"/>
        <v>#REF!</v>
      </c>
    </row>
    <row r="67" spans="1:17" ht="15.75" customHeight="1">
      <c r="A67" s="123" t="e">
        <f t="shared" si="1"/>
        <v>#REF!</v>
      </c>
      <c r="Q67" s="2" t="e">
        <f t="shared" si="0"/>
        <v>#REF!</v>
      </c>
    </row>
    <row r="68" spans="1:17" ht="15.75" customHeight="1">
      <c r="A68" s="123" t="e">
        <f t="shared" si="1"/>
        <v>#REF!</v>
      </c>
      <c r="Q68" s="2" t="e">
        <f t="shared" si="0"/>
        <v>#REF!</v>
      </c>
    </row>
    <row r="69" spans="1:17" ht="15.75" customHeight="1">
      <c r="A69" s="123" t="e">
        <f t="shared" si="1"/>
        <v>#REF!</v>
      </c>
      <c r="Q69" s="2" t="e">
        <f t="shared" si="0"/>
        <v>#REF!</v>
      </c>
    </row>
    <row r="70" spans="1:17" ht="15.75" customHeight="1">
      <c r="A70" s="123" t="e">
        <f t="shared" si="1"/>
        <v>#REF!</v>
      </c>
      <c r="Q70" s="2" t="e">
        <f t="shared" si="0"/>
        <v>#REF!</v>
      </c>
    </row>
    <row r="71" spans="1:17" ht="15.75" customHeight="1">
      <c r="A71" s="123" t="e">
        <f t="shared" si="1"/>
        <v>#REF!</v>
      </c>
      <c r="Q71" s="2" t="e">
        <f t="shared" si="0"/>
        <v>#REF!</v>
      </c>
    </row>
    <row r="72" spans="1:17" ht="15.75" customHeight="1">
      <c r="A72" s="123" t="e">
        <f t="shared" si="1"/>
        <v>#REF!</v>
      </c>
      <c r="Q72" s="2" t="e">
        <f t="shared" si="0"/>
        <v>#REF!</v>
      </c>
    </row>
    <row r="73" spans="1:17" ht="15.75" customHeight="1">
      <c r="A73" s="123" t="e">
        <f t="shared" si="1"/>
        <v>#REF!</v>
      </c>
      <c r="Q73" s="2" t="e">
        <f t="shared" si="0"/>
        <v>#REF!</v>
      </c>
    </row>
    <row r="74" spans="1:17" ht="15.75" customHeight="1">
      <c r="A74" s="123" t="e">
        <f t="shared" si="1"/>
        <v>#REF!</v>
      </c>
      <c r="Q74" s="2" t="e">
        <f t="shared" si="0"/>
        <v>#REF!</v>
      </c>
    </row>
    <row r="75" spans="1:17" ht="15.75" customHeight="1">
      <c r="A75" s="123" t="e">
        <f t="shared" si="1"/>
        <v>#REF!</v>
      </c>
      <c r="Q75" s="2" t="e">
        <f t="shared" si="0"/>
        <v>#REF!</v>
      </c>
    </row>
    <row r="76" spans="1:17" ht="15.75" customHeight="1">
      <c r="A76" s="123" t="e">
        <f t="shared" si="1"/>
        <v>#REF!</v>
      </c>
      <c r="Q76" s="2" t="e">
        <f t="shared" si="0"/>
        <v>#REF!</v>
      </c>
    </row>
    <row r="77" spans="1:17" ht="15.75" customHeight="1">
      <c r="A77" s="123" t="e">
        <f t="shared" si="1"/>
        <v>#REF!</v>
      </c>
      <c r="Q77" s="2" t="e">
        <f t="shared" si="0"/>
        <v>#REF!</v>
      </c>
    </row>
    <row r="78" spans="1:17" ht="15.75" customHeight="1">
      <c r="A78" s="123" t="e">
        <f t="shared" si="1"/>
        <v>#REF!</v>
      </c>
      <c r="Q78" s="2" t="e">
        <f t="shared" si="0"/>
        <v>#REF!</v>
      </c>
    </row>
    <row r="79" spans="1:17" ht="15.75" customHeight="1">
      <c r="A79" s="123" t="e">
        <f t="shared" si="1"/>
        <v>#REF!</v>
      </c>
      <c r="Q79" s="2" t="e">
        <f t="shared" si="0"/>
        <v>#REF!</v>
      </c>
    </row>
    <row r="80" spans="1:17" ht="15.75" customHeight="1">
      <c r="A80" s="123" t="e">
        <f t="shared" si="1"/>
        <v>#REF!</v>
      </c>
      <c r="Q80" s="2" t="e">
        <f t="shared" si="0"/>
        <v>#REF!</v>
      </c>
    </row>
    <row r="81" spans="1:17" ht="15.75" customHeight="1">
      <c r="A81" s="123" t="e">
        <f t="shared" si="1"/>
        <v>#REF!</v>
      </c>
      <c r="Q81" s="2" t="e">
        <f t="shared" si="0"/>
        <v>#REF!</v>
      </c>
    </row>
    <row r="82" spans="1:17" ht="15.75" customHeight="1">
      <c r="A82" s="123" t="e">
        <f t="shared" si="1"/>
        <v>#REF!</v>
      </c>
      <c r="Q82" s="2" t="e">
        <f t="shared" si="0"/>
        <v>#REF!</v>
      </c>
    </row>
    <row r="83" spans="1:17" ht="15.75" customHeight="1">
      <c r="A83" s="123" t="e">
        <f t="shared" si="1"/>
        <v>#REF!</v>
      </c>
      <c r="Q83" s="2" t="e">
        <f t="shared" si="0"/>
        <v>#REF!</v>
      </c>
    </row>
    <row r="84" spans="1:17" ht="15.75" customHeight="1">
      <c r="A84" s="123" t="e">
        <f t="shared" si="1"/>
        <v>#REF!</v>
      </c>
      <c r="Q84" s="2" t="e">
        <f t="shared" si="0"/>
        <v>#REF!</v>
      </c>
    </row>
    <row r="85" spans="1:17" ht="15.75" customHeight="1">
      <c r="A85" s="123" t="e">
        <f t="shared" si="1"/>
        <v>#REF!</v>
      </c>
      <c r="Q85" s="2" t="e">
        <f t="shared" si="0"/>
        <v>#REF!</v>
      </c>
    </row>
    <row r="86" spans="1:17" ht="15.75" customHeight="1">
      <c r="A86" s="123" t="e">
        <f t="shared" si="1"/>
        <v>#REF!</v>
      </c>
      <c r="Q86" s="2" t="e">
        <f t="shared" si="0"/>
        <v>#REF!</v>
      </c>
    </row>
    <row r="87" spans="1:17" ht="15.75" customHeight="1">
      <c r="A87" s="123" t="e">
        <f t="shared" si="1"/>
        <v>#REF!</v>
      </c>
      <c r="Q87" s="2" t="e">
        <f t="shared" si="0"/>
        <v>#REF!</v>
      </c>
    </row>
    <row r="88" spans="1:17" ht="15.75" customHeight="1">
      <c r="A88" s="123" t="e">
        <f t="shared" si="1"/>
        <v>#REF!</v>
      </c>
      <c r="Q88" s="2" t="e">
        <f t="shared" si="0"/>
        <v>#REF!</v>
      </c>
    </row>
    <row r="89" spans="1:17" ht="15.75" customHeight="1">
      <c r="A89" s="123" t="e">
        <f t="shared" si="1"/>
        <v>#REF!</v>
      </c>
      <c r="Q89" s="2" t="e">
        <f t="shared" si="0"/>
        <v>#REF!</v>
      </c>
    </row>
    <row r="90" spans="1:17" ht="15.75" customHeight="1">
      <c r="A90" s="123" t="e">
        <f t="shared" si="1"/>
        <v>#REF!</v>
      </c>
      <c r="Q90" s="2" t="e">
        <f t="shared" si="0"/>
        <v>#REF!</v>
      </c>
    </row>
    <row r="91" spans="1:17" ht="15.75" customHeight="1">
      <c r="A91" s="123" t="e">
        <f t="shared" si="1"/>
        <v>#REF!</v>
      </c>
      <c r="Q91" s="2" t="e">
        <f t="shared" si="0"/>
        <v>#REF!</v>
      </c>
    </row>
    <row r="92" spans="1:17" ht="15.75" customHeight="1">
      <c r="A92" s="123" t="e">
        <f t="shared" si="1"/>
        <v>#REF!</v>
      </c>
      <c r="Q92" s="2" t="e">
        <f t="shared" si="0"/>
        <v>#REF!</v>
      </c>
    </row>
    <row r="93" spans="1:17" ht="15.75" customHeight="1">
      <c r="A93" s="123" t="e">
        <f t="shared" si="1"/>
        <v>#REF!</v>
      </c>
      <c r="Q93" s="2" t="e">
        <f t="shared" si="0"/>
        <v>#REF!</v>
      </c>
    </row>
    <row r="94" spans="1:17" ht="15.75" customHeight="1">
      <c r="A94" s="123" t="e">
        <f t="shared" si="1"/>
        <v>#REF!</v>
      </c>
      <c r="Q94" s="2" t="e">
        <f t="shared" si="0"/>
        <v>#REF!</v>
      </c>
    </row>
    <row r="95" spans="1:17" ht="15.75" customHeight="1">
      <c r="A95" s="123" t="e">
        <f t="shared" si="1"/>
        <v>#REF!</v>
      </c>
      <c r="Q95" s="2" t="e">
        <f t="shared" si="0"/>
        <v>#REF!</v>
      </c>
    </row>
    <row r="96" spans="1:17" ht="15.75" customHeight="1">
      <c r="A96" s="123" t="e">
        <f t="shared" si="1"/>
        <v>#REF!</v>
      </c>
      <c r="Q96" s="2" t="e">
        <f t="shared" si="0"/>
        <v>#REF!</v>
      </c>
    </row>
    <row r="97" spans="1:17" ht="15.75" customHeight="1">
      <c r="A97" s="123" t="e">
        <f t="shared" si="1"/>
        <v>#REF!</v>
      </c>
      <c r="Q97" s="2" t="e">
        <f t="shared" si="0"/>
        <v>#REF!</v>
      </c>
    </row>
    <row r="98" spans="1:17" ht="15.75" customHeight="1">
      <c r="A98" s="123" t="e">
        <f t="shared" si="1"/>
        <v>#REF!</v>
      </c>
      <c r="Q98" s="2" t="e">
        <f t="shared" si="0"/>
        <v>#REF!</v>
      </c>
    </row>
    <row r="99" spans="1:17" ht="15.75" customHeight="1">
      <c r="A99" s="123" t="e">
        <f t="shared" si="1"/>
        <v>#REF!</v>
      </c>
      <c r="Q99" s="2" t="e">
        <f t="shared" si="0"/>
        <v>#REF!</v>
      </c>
    </row>
    <row r="100" spans="1:17" ht="15.75" customHeight="1">
      <c r="A100" s="123" t="e">
        <f t="shared" si="1"/>
        <v>#REF!</v>
      </c>
      <c r="Q100" s="2" t="e">
        <f t="shared" si="0"/>
        <v>#REF!</v>
      </c>
    </row>
    <row r="101" spans="1:17" ht="15.75" customHeight="1">
      <c r="A101" s="123" t="e">
        <f t="shared" si="1"/>
        <v>#REF!</v>
      </c>
      <c r="Q101" s="2" t="e">
        <f t="shared" si="0"/>
        <v>#REF!</v>
      </c>
    </row>
    <row r="102" spans="1:17" ht="15.75" customHeight="1">
      <c r="A102" s="123" t="e">
        <f t="shared" si="1"/>
        <v>#REF!</v>
      </c>
      <c r="Q102" s="2" t="e">
        <f t="shared" si="0"/>
        <v>#REF!</v>
      </c>
    </row>
    <row r="103" spans="1:17" ht="15.75" customHeight="1">
      <c r="A103" s="123" t="e">
        <f t="shared" si="1"/>
        <v>#REF!</v>
      </c>
      <c r="Q103" s="2" t="e">
        <f t="shared" si="0"/>
        <v>#REF!</v>
      </c>
    </row>
    <row r="104" spans="1:17" ht="15.75" customHeight="1">
      <c r="A104" s="123" t="e">
        <f t="shared" si="1"/>
        <v>#REF!</v>
      </c>
      <c r="Q104" s="2" t="e">
        <f t="shared" si="0"/>
        <v>#REF!</v>
      </c>
    </row>
    <row r="105" spans="1:17" ht="15.75" customHeight="1">
      <c r="A105" s="123" t="e">
        <f t="shared" si="1"/>
        <v>#REF!</v>
      </c>
      <c r="Q105" s="2" t="e">
        <f t="shared" si="0"/>
        <v>#REF!</v>
      </c>
    </row>
    <row r="106" spans="1:17" ht="15.75" customHeight="1">
      <c r="A106" s="123" t="e">
        <f t="shared" si="1"/>
        <v>#REF!</v>
      </c>
      <c r="Q106" s="2" t="e">
        <f t="shared" si="0"/>
        <v>#REF!</v>
      </c>
    </row>
    <row r="107" spans="1:17" ht="15.75" customHeight="1">
      <c r="A107" s="123" t="e">
        <f t="shared" si="1"/>
        <v>#REF!</v>
      </c>
      <c r="Q107" s="2" t="e">
        <f t="shared" si="0"/>
        <v>#REF!</v>
      </c>
    </row>
    <row r="108" spans="1:17" ht="15.75" customHeight="1">
      <c r="A108" s="123" t="e">
        <f t="shared" si="1"/>
        <v>#REF!</v>
      </c>
      <c r="Q108" s="2" t="e">
        <f t="shared" si="0"/>
        <v>#REF!</v>
      </c>
    </row>
    <row r="109" spans="1:17" ht="15.75" customHeight="1">
      <c r="A109" s="123" t="e">
        <f t="shared" si="1"/>
        <v>#REF!</v>
      </c>
      <c r="Q109" s="2" t="e">
        <f t="shared" si="0"/>
        <v>#REF!</v>
      </c>
    </row>
    <row r="110" spans="1:17" ht="15.75" customHeight="1">
      <c r="A110" s="123" t="e">
        <f t="shared" si="1"/>
        <v>#REF!</v>
      </c>
      <c r="Q110" s="2" t="e">
        <f t="shared" si="0"/>
        <v>#REF!</v>
      </c>
    </row>
    <row r="111" spans="1:17" ht="15.75" customHeight="1">
      <c r="A111" s="123" t="e">
        <f t="shared" si="1"/>
        <v>#REF!</v>
      </c>
      <c r="Q111" s="2" t="e">
        <f t="shared" si="0"/>
        <v>#REF!</v>
      </c>
    </row>
    <row r="112" spans="1:17" ht="15.75" customHeight="1">
      <c r="A112" s="123" t="e">
        <f t="shared" si="1"/>
        <v>#REF!</v>
      </c>
      <c r="Q112" s="2" t="e">
        <f t="shared" si="0"/>
        <v>#REF!</v>
      </c>
    </row>
    <row r="113" spans="1:17" ht="15.75" customHeight="1">
      <c r="A113" s="123" t="e">
        <f t="shared" si="1"/>
        <v>#REF!</v>
      </c>
      <c r="Q113" s="2" t="e">
        <f t="shared" si="0"/>
        <v>#REF!</v>
      </c>
    </row>
    <row r="114" spans="1:17" ht="15.75" customHeight="1">
      <c r="A114" s="123" t="e">
        <f t="shared" si="1"/>
        <v>#REF!</v>
      </c>
      <c r="Q114" s="2" t="e">
        <f t="shared" si="0"/>
        <v>#REF!</v>
      </c>
    </row>
    <row r="115" spans="1:17" ht="15.75" customHeight="1">
      <c r="A115" s="123" t="e">
        <f t="shared" si="1"/>
        <v>#REF!</v>
      </c>
      <c r="Q115" s="2" t="e">
        <f t="shared" si="0"/>
        <v>#REF!</v>
      </c>
    </row>
    <row r="116" spans="1:17" ht="15.75" customHeight="1">
      <c r="A116" s="123" t="e">
        <f t="shared" si="1"/>
        <v>#REF!</v>
      </c>
      <c r="Q116" s="2" t="e">
        <f t="shared" si="0"/>
        <v>#REF!</v>
      </c>
    </row>
    <row r="117" spans="1:17" ht="15.75" customHeight="1">
      <c r="A117" s="123" t="e">
        <f t="shared" si="1"/>
        <v>#REF!</v>
      </c>
      <c r="Q117" s="2" t="e">
        <f t="shared" si="0"/>
        <v>#REF!</v>
      </c>
    </row>
    <row r="118" spans="1:17" ht="15.75" customHeight="1">
      <c r="A118" s="123" t="e">
        <f t="shared" si="1"/>
        <v>#REF!</v>
      </c>
      <c r="Q118" s="2" t="e">
        <f t="shared" si="0"/>
        <v>#REF!</v>
      </c>
    </row>
    <row r="119" spans="1:17" ht="15.75" customHeight="1">
      <c r="A119" s="123" t="e">
        <f t="shared" si="1"/>
        <v>#REF!</v>
      </c>
      <c r="Q119" s="2" t="e">
        <f t="shared" si="0"/>
        <v>#REF!</v>
      </c>
    </row>
    <row r="120" spans="1:17" ht="15.75" customHeight="1">
      <c r="A120" s="123" t="e">
        <f t="shared" si="1"/>
        <v>#REF!</v>
      </c>
      <c r="Q120" s="2" t="e">
        <f t="shared" si="0"/>
        <v>#REF!</v>
      </c>
    </row>
    <row r="121" spans="1:17" ht="15.75" customHeight="1">
      <c r="A121" s="123" t="e">
        <f t="shared" si="1"/>
        <v>#REF!</v>
      </c>
      <c r="Q121" s="2" t="e">
        <f t="shared" si="0"/>
        <v>#REF!</v>
      </c>
    </row>
    <row r="122" spans="1:17" ht="15.75" customHeight="1">
      <c r="A122" s="123" t="e">
        <f t="shared" si="1"/>
        <v>#REF!</v>
      </c>
      <c r="Q122" s="2" t="e">
        <f t="shared" si="0"/>
        <v>#REF!</v>
      </c>
    </row>
    <row r="123" spans="1:17" ht="15.75" customHeight="1">
      <c r="A123" s="123" t="e">
        <f t="shared" si="1"/>
        <v>#REF!</v>
      </c>
      <c r="Q123" s="2" t="e">
        <f t="shared" si="0"/>
        <v>#REF!</v>
      </c>
    </row>
    <row r="124" spans="1:17" ht="15.75" customHeight="1">
      <c r="A124" s="123" t="e">
        <f t="shared" si="1"/>
        <v>#REF!</v>
      </c>
      <c r="Q124" s="2" t="e">
        <f t="shared" si="0"/>
        <v>#REF!</v>
      </c>
    </row>
    <row r="125" spans="1:17" ht="15.75" customHeight="1">
      <c r="A125" s="123" t="e">
        <f t="shared" si="1"/>
        <v>#REF!</v>
      </c>
      <c r="Q125" s="2" t="e">
        <f t="shared" si="0"/>
        <v>#REF!</v>
      </c>
    </row>
    <row r="126" spans="1:17" ht="15.75" customHeight="1">
      <c r="A126" s="123" t="e">
        <f t="shared" si="1"/>
        <v>#REF!</v>
      </c>
      <c r="Q126" s="2" t="e">
        <f t="shared" si="0"/>
        <v>#REF!</v>
      </c>
    </row>
    <row r="127" spans="1:17" ht="15.75" customHeight="1">
      <c r="A127" s="123" t="e">
        <f t="shared" si="1"/>
        <v>#REF!</v>
      </c>
      <c r="Q127" s="2" t="e">
        <f t="shared" si="0"/>
        <v>#REF!</v>
      </c>
    </row>
    <row r="128" spans="1:17" ht="15.75" customHeight="1">
      <c r="A128" s="123" t="e">
        <f t="shared" si="1"/>
        <v>#REF!</v>
      </c>
      <c r="Q128" s="2" t="e">
        <f t="shared" si="0"/>
        <v>#REF!</v>
      </c>
    </row>
    <row r="129" spans="1:17" ht="15.75" customHeight="1">
      <c r="A129" s="123" t="e">
        <f t="shared" si="1"/>
        <v>#REF!</v>
      </c>
      <c r="Q129" s="2" t="e">
        <f t="shared" si="0"/>
        <v>#REF!</v>
      </c>
    </row>
    <row r="130" spans="1:17" ht="15.75" customHeight="1">
      <c r="A130" s="123" t="e">
        <f t="shared" si="1"/>
        <v>#REF!</v>
      </c>
      <c r="Q130" s="2" t="e">
        <f t="shared" si="0"/>
        <v>#REF!</v>
      </c>
    </row>
    <row r="131" spans="1:17" ht="15.75" customHeight="1">
      <c r="A131" s="123" t="e">
        <f t="shared" si="1"/>
        <v>#REF!</v>
      </c>
      <c r="Q131" s="2" t="e">
        <f t="shared" si="0"/>
        <v>#REF!</v>
      </c>
    </row>
    <row r="132" spans="1:17" ht="15.75" customHeight="1">
      <c r="A132" s="123" t="e">
        <f t="shared" si="1"/>
        <v>#REF!</v>
      </c>
      <c r="Q132" s="2" t="e">
        <f t="shared" si="0"/>
        <v>#REF!</v>
      </c>
    </row>
    <row r="133" spans="1:17" ht="15.75" customHeight="1">
      <c r="A133" s="123" t="e">
        <f t="shared" si="1"/>
        <v>#REF!</v>
      </c>
      <c r="Q133" s="2" t="e">
        <f t="shared" si="0"/>
        <v>#REF!</v>
      </c>
    </row>
    <row r="134" spans="1:17" ht="15.75" customHeight="1">
      <c r="A134" s="123" t="e">
        <f t="shared" si="1"/>
        <v>#REF!</v>
      </c>
      <c r="Q134" s="2" t="e">
        <f t="shared" si="0"/>
        <v>#REF!</v>
      </c>
    </row>
    <row r="135" spans="1:17" ht="15.75" customHeight="1">
      <c r="A135" s="123" t="e">
        <f t="shared" si="1"/>
        <v>#REF!</v>
      </c>
      <c r="Q135" s="2" t="e">
        <f t="shared" si="0"/>
        <v>#REF!</v>
      </c>
    </row>
    <row r="136" spans="1:17" ht="15.75" customHeight="1">
      <c r="A136" s="123" t="e">
        <f t="shared" si="1"/>
        <v>#REF!</v>
      </c>
      <c r="Q136" s="2" t="e">
        <f t="shared" si="0"/>
        <v>#REF!</v>
      </c>
    </row>
    <row r="137" spans="1:17" ht="15.75" customHeight="1">
      <c r="A137" s="123" t="e">
        <f t="shared" si="1"/>
        <v>#REF!</v>
      </c>
      <c r="Q137" s="2" t="e">
        <f t="shared" si="0"/>
        <v>#REF!</v>
      </c>
    </row>
    <row r="138" spans="1:17" ht="15.75" customHeight="1">
      <c r="A138" s="123" t="e">
        <f t="shared" si="1"/>
        <v>#REF!</v>
      </c>
      <c r="Q138" s="2" t="e">
        <f t="shared" si="0"/>
        <v>#REF!</v>
      </c>
    </row>
    <row r="139" spans="1:17" ht="15.75" customHeight="1">
      <c r="A139" s="123" t="e">
        <f t="shared" si="1"/>
        <v>#REF!</v>
      </c>
      <c r="Q139" s="2" t="e">
        <f t="shared" si="0"/>
        <v>#REF!</v>
      </c>
    </row>
    <row r="140" spans="1:17" ht="15.75" customHeight="1">
      <c r="A140" s="123" t="e">
        <f t="shared" si="1"/>
        <v>#REF!</v>
      </c>
      <c r="Q140" s="2" t="e">
        <f t="shared" si="0"/>
        <v>#REF!</v>
      </c>
    </row>
    <row r="141" spans="1:17" ht="15.75" customHeight="1">
      <c r="A141" s="123" t="e">
        <f t="shared" si="1"/>
        <v>#REF!</v>
      </c>
      <c r="Q141" s="2" t="e">
        <f t="shared" si="0"/>
        <v>#REF!</v>
      </c>
    </row>
    <row r="142" spans="1:17" ht="15.75" customHeight="1">
      <c r="A142" s="123" t="e">
        <f t="shared" si="1"/>
        <v>#REF!</v>
      </c>
      <c r="Q142" s="2" t="e">
        <f t="shared" si="0"/>
        <v>#REF!</v>
      </c>
    </row>
    <row r="143" spans="1:17" ht="15.75" customHeight="1">
      <c r="A143" s="123" t="e">
        <f t="shared" si="1"/>
        <v>#REF!</v>
      </c>
      <c r="Q143" s="2" t="e">
        <f t="shared" si="0"/>
        <v>#REF!</v>
      </c>
    </row>
    <row r="144" spans="1:17" ht="15.75" customHeight="1">
      <c r="A144" s="123" t="e">
        <f t="shared" si="1"/>
        <v>#REF!</v>
      </c>
      <c r="Q144" s="2" t="e">
        <f t="shared" si="0"/>
        <v>#REF!</v>
      </c>
    </row>
    <row r="145" spans="1:17" ht="15.75" customHeight="1">
      <c r="A145" s="123" t="e">
        <f t="shared" si="1"/>
        <v>#REF!</v>
      </c>
      <c r="Q145" s="2" t="e">
        <f t="shared" si="0"/>
        <v>#REF!</v>
      </c>
    </row>
    <row r="146" spans="1:17" ht="15.75" customHeight="1">
      <c r="A146" s="123" t="e">
        <f t="shared" si="1"/>
        <v>#REF!</v>
      </c>
      <c r="Q146" s="2" t="e">
        <f t="shared" si="0"/>
        <v>#REF!</v>
      </c>
    </row>
    <row r="147" spans="1:17" ht="15.75" customHeight="1">
      <c r="A147" s="123" t="e">
        <f t="shared" si="1"/>
        <v>#REF!</v>
      </c>
      <c r="Q147" s="2" t="e">
        <f t="shared" si="0"/>
        <v>#REF!</v>
      </c>
    </row>
    <row r="148" spans="1:17" ht="15.75" customHeight="1">
      <c r="A148" s="123" t="e">
        <f t="shared" si="1"/>
        <v>#REF!</v>
      </c>
      <c r="Q148" s="2" t="e">
        <f t="shared" si="0"/>
        <v>#REF!</v>
      </c>
    </row>
    <row r="149" spans="1:17" ht="15.75" customHeight="1">
      <c r="A149" s="123" t="e">
        <f t="shared" si="1"/>
        <v>#REF!</v>
      </c>
      <c r="Q149" s="2" t="e">
        <f t="shared" si="0"/>
        <v>#REF!</v>
      </c>
    </row>
    <row r="150" spans="1:17" ht="15.75" customHeight="1">
      <c r="A150" s="123" t="e">
        <f t="shared" si="1"/>
        <v>#REF!</v>
      </c>
      <c r="Q150" s="2" t="e">
        <f t="shared" si="0"/>
        <v>#REF!</v>
      </c>
    </row>
    <row r="151" spans="1:17" ht="15.75" customHeight="1">
      <c r="A151" s="123" t="e">
        <f t="shared" si="1"/>
        <v>#REF!</v>
      </c>
      <c r="Q151" s="2" t="e">
        <f t="shared" si="0"/>
        <v>#REF!</v>
      </c>
    </row>
    <row r="152" spans="1:17" ht="15.75" customHeight="1">
      <c r="A152" s="123" t="e">
        <f t="shared" si="1"/>
        <v>#REF!</v>
      </c>
      <c r="Q152" s="2" t="e">
        <f t="shared" si="0"/>
        <v>#REF!</v>
      </c>
    </row>
    <row r="153" spans="1:17" ht="15.75" customHeight="1">
      <c r="A153" s="123" t="e">
        <f t="shared" si="1"/>
        <v>#REF!</v>
      </c>
      <c r="Q153" s="2" t="e">
        <f t="shared" si="0"/>
        <v>#REF!</v>
      </c>
    </row>
    <row r="154" spans="1:17" ht="15.75" customHeight="1">
      <c r="A154" s="123" t="e">
        <f t="shared" si="1"/>
        <v>#REF!</v>
      </c>
      <c r="Q154" s="2" t="e">
        <f t="shared" si="0"/>
        <v>#REF!</v>
      </c>
    </row>
    <row r="155" spans="1:17" ht="15.75" customHeight="1">
      <c r="A155" s="123" t="e">
        <f t="shared" si="1"/>
        <v>#REF!</v>
      </c>
      <c r="Q155" s="2" t="e">
        <f t="shared" si="0"/>
        <v>#REF!</v>
      </c>
    </row>
    <row r="156" spans="1:17" ht="15.75" customHeight="1">
      <c r="A156" s="123" t="e">
        <f t="shared" si="1"/>
        <v>#REF!</v>
      </c>
      <c r="Q156" s="2" t="e">
        <f t="shared" si="0"/>
        <v>#REF!</v>
      </c>
    </row>
    <row r="157" spans="1:17" ht="15.75" customHeight="1">
      <c r="A157" s="123" t="e">
        <f t="shared" si="1"/>
        <v>#REF!</v>
      </c>
      <c r="Q157" s="2" t="e">
        <f t="shared" si="0"/>
        <v>#REF!</v>
      </c>
    </row>
    <row r="158" spans="1:17" ht="15.75" customHeight="1">
      <c r="A158" s="123" t="e">
        <f t="shared" si="1"/>
        <v>#REF!</v>
      </c>
      <c r="Q158" s="2" t="e">
        <f t="shared" si="0"/>
        <v>#REF!</v>
      </c>
    </row>
    <row r="159" spans="1:17" ht="15.75" customHeight="1">
      <c r="A159" s="123" t="e">
        <f t="shared" si="1"/>
        <v>#REF!</v>
      </c>
      <c r="Q159" s="2" t="e">
        <f t="shared" si="0"/>
        <v>#REF!</v>
      </c>
    </row>
    <row r="160" spans="1:17" ht="15.75" customHeight="1">
      <c r="A160" s="123" t="e">
        <f t="shared" si="1"/>
        <v>#REF!</v>
      </c>
      <c r="Q160" s="2" t="e">
        <f t="shared" si="0"/>
        <v>#REF!</v>
      </c>
    </row>
    <row r="161" spans="1:17" ht="15.75" customHeight="1">
      <c r="A161" s="123" t="e">
        <f t="shared" si="1"/>
        <v>#REF!</v>
      </c>
      <c r="Q161" s="2" t="e">
        <f t="shared" si="0"/>
        <v>#REF!</v>
      </c>
    </row>
    <row r="162" spans="1:17" ht="15.75" customHeight="1">
      <c r="A162" s="123" t="e">
        <f t="shared" si="1"/>
        <v>#REF!</v>
      </c>
      <c r="Q162" s="2" t="e">
        <f t="shared" si="0"/>
        <v>#REF!</v>
      </c>
    </row>
    <row r="163" spans="1:17" ht="15.75" customHeight="1">
      <c r="A163" s="123" t="e">
        <f t="shared" si="1"/>
        <v>#REF!</v>
      </c>
      <c r="Q163" s="2" t="e">
        <f t="shared" si="0"/>
        <v>#REF!</v>
      </c>
    </row>
    <row r="164" spans="1:17" ht="15.75" customHeight="1">
      <c r="A164" s="123" t="e">
        <f t="shared" si="1"/>
        <v>#REF!</v>
      </c>
      <c r="Q164" s="2" t="e">
        <f t="shared" si="0"/>
        <v>#REF!</v>
      </c>
    </row>
    <row r="165" spans="1:17" ht="15.75" customHeight="1">
      <c r="A165" s="123" t="e">
        <f t="shared" si="1"/>
        <v>#REF!</v>
      </c>
      <c r="Q165" s="2" t="e">
        <f t="shared" si="0"/>
        <v>#REF!</v>
      </c>
    </row>
    <row r="166" spans="1:17" ht="15.75" customHeight="1">
      <c r="A166" s="123" t="e">
        <f t="shared" si="1"/>
        <v>#REF!</v>
      </c>
      <c r="Q166" s="2" t="e">
        <f t="shared" si="0"/>
        <v>#REF!</v>
      </c>
    </row>
    <row r="167" spans="1:17" ht="15.75" customHeight="1">
      <c r="A167" s="123" t="e">
        <f t="shared" si="1"/>
        <v>#REF!</v>
      </c>
      <c r="Q167" s="2" t="e">
        <f t="shared" si="0"/>
        <v>#REF!</v>
      </c>
    </row>
    <row r="168" spans="1:17" ht="15.75" customHeight="1">
      <c r="A168" s="123" t="e">
        <f t="shared" si="1"/>
        <v>#REF!</v>
      </c>
      <c r="Q168" s="2" t="e">
        <f t="shared" si="0"/>
        <v>#REF!</v>
      </c>
    </row>
    <row r="169" spans="1:17" ht="15.75" customHeight="1">
      <c r="A169" s="123" t="e">
        <f t="shared" si="1"/>
        <v>#REF!</v>
      </c>
      <c r="Q169" s="2" t="e">
        <f t="shared" si="0"/>
        <v>#REF!</v>
      </c>
    </row>
    <row r="170" spans="1:17" ht="15.75" customHeight="1">
      <c r="A170" s="123" t="e">
        <f t="shared" si="1"/>
        <v>#REF!</v>
      </c>
      <c r="Q170" s="2" t="e">
        <f t="shared" si="0"/>
        <v>#REF!</v>
      </c>
    </row>
    <row r="171" spans="1:17" ht="15.75" customHeight="1">
      <c r="A171" s="123" t="e">
        <f t="shared" si="1"/>
        <v>#REF!</v>
      </c>
      <c r="Q171" s="2" t="e">
        <f t="shared" si="0"/>
        <v>#REF!</v>
      </c>
    </row>
    <row r="172" spans="1:17" ht="15.75" customHeight="1">
      <c r="A172" s="123" t="e">
        <f t="shared" si="1"/>
        <v>#REF!</v>
      </c>
      <c r="Q172" s="2" t="e">
        <f t="shared" si="0"/>
        <v>#REF!</v>
      </c>
    </row>
    <row r="173" spans="1:17" ht="15.75" customHeight="1">
      <c r="A173" s="123" t="e">
        <f t="shared" si="1"/>
        <v>#REF!</v>
      </c>
      <c r="Q173" s="2" t="e">
        <f t="shared" si="0"/>
        <v>#REF!</v>
      </c>
    </row>
    <row r="174" spans="1:17" ht="15.75" customHeight="1">
      <c r="A174" s="123" t="e">
        <f t="shared" si="1"/>
        <v>#REF!</v>
      </c>
      <c r="Q174" s="2" t="e">
        <f t="shared" si="0"/>
        <v>#REF!</v>
      </c>
    </row>
    <row r="175" spans="1:17" ht="15.75" customHeight="1">
      <c r="A175" s="123" t="e">
        <f t="shared" si="1"/>
        <v>#REF!</v>
      </c>
      <c r="Q175" s="2" t="e">
        <f t="shared" si="0"/>
        <v>#REF!</v>
      </c>
    </row>
    <row r="176" spans="1:17" ht="15.75" customHeight="1">
      <c r="A176" s="123" t="e">
        <f t="shared" si="1"/>
        <v>#REF!</v>
      </c>
      <c r="Q176" s="2" t="e">
        <f t="shared" si="0"/>
        <v>#REF!</v>
      </c>
    </row>
    <row r="177" spans="1:17" ht="15.75" customHeight="1">
      <c r="A177" s="123" t="e">
        <f t="shared" si="1"/>
        <v>#REF!</v>
      </c>
      <c r="Q177" s="2" t="e">
        <f t="shared" si="0"/>
        <v>#REF!</v>
      </c>
    </row>
    <row r="178" spans="1:17" ht="15.75" customHeight="1">
      <c r="A178" s="123" t="e">
        <f t="shared" si="1"/>
        <v>#REF!</v>
      </c>
      <c r="Q178" s="2" t="e">
        <f t="shared" si="0"/>
        <v>#REF!</v>
      </c>
    </row>
    <row r="179" spans="1:17" ht="15.75" customHeight="1">
      <c r="A179" s="123" t="e">
        <f t="shared" si="1"/>
        <v>#REF!</v>
      </c>
      <c r="Q179" s="2" t="e">
        <f t="shared" si="0"/>
        <v>#REF!</v>
      </c>
    </row>
    <row r="180" spans="1:17" ht="15.75" customHeight="1">
      <c r="A180" s="123" t="e">
        <f t="shared" si="1"/>
        <v>#REF!</v>
      </c>
      <c r="Q180" s="2" t="e">
        <f t="shared" si="0"/>
        <v>#REF!</v>
      </c>
    </row>
    <row r="181" spans="1:17" ht="15.75" customHeight="1">
      <c r="A181" s="123" t="e">
        <f t="shared" si="1"/>
        <v>#REF!</v>
      </c>
      <c r="Q181" s="2" t="e">
        <f t="shared" si="0"/>
        <v>#REF!</v>
      </c>
    </row>
    <row r="182" spans="1:17" ht="15.75" customHeight="1">
      <c r="A182" s="123" t="e">
        <f t="shared" si="1"/>
        <v>#REF!</v>
      </c>
      <c r="Q182" s="2" t="e">
        <f t="shared" si="0"/>
        <v>#REF!</v>
      </c>
    </row>
    <row r="183" spans="1:17" ht="15.75" customHeight="1">
      <c r="A183" s="123" t="e">
        <f t="shared" si="1"/>
        <v>#REF!</v>
      </c>
      <c r="Q183" s="2" t="e">
        <f t="shared" si="0"/>
        <v>#REF!</v>
      </c>
    </row>
    <row r="184" spans="1:17" ht="15.75" customHeight="1">
      <c r="A184" s="123" t="e">
        <f t="shared" si="1"/>
        <v>#REF!</v>
      </c>
      <c r="Q184" s="2" t="e">
        <f t="shared" si="0"/>
        <v>#REF!</v>
      </c>
    </row>
    <row r="185" spans="1:17" ht="15.75" customHeight="1">
      <c r="A185" s="123" t="e">
        <f t="shared" si="1"/>
        <v>#REF!</v>
      </c>
      <c r="Q185" s="2" t="e">
        <f t="shared" si="0"/>
        <v>#REF!</v>
      </c>
    </row>
    <row r="186" spans="1:17" ht="15.75" customHeight="1">
      <c r="A186" s="123" t="e">
        <f t="shared" si="1"/>
        <v>#REF!</v>
      </c>
      <c r="Q186" s="2" t="e">
        <f t="shared" si="0"/>
        <v>#REF!</v>
      </c>
    </row>
    <row r="187" spans="1:17" ht="15.75" customHeight="1">
      <c r="A187" s="123" t="e">
        <f t="shared" si="1"/>
        <v>#REF!</v>
      </c>
      <c r="Q187" s="2" t="e">
        <f t="shared" si="0"/>
        <v>#REF!</v>
      </c>
    </row>
    <row r="188" spans="1:17" ht="15.75" customHeight="1">
      <c r="A188" s="123" t="e">
        <f t="shared" si="1"/>
        <v>#REF!</v>
      </c>
      <c r="Q188" s="2" t="e">
        <f t="shared" si="0"/>
        <v>#REF!</v>
      </c>
    </row>
    <row r="189" spans="1:17" ht="15.75" customHeight="1">
      <c r="A189" s="123" t="e">
        <f t="shared" si="1"/>
        <v>#REF!</v>
      </c>
      <c r="Q189" s="2" t="e">
        <f t="shared" si="0"/>
        <v>#REF!</v>
      </c>
    </row>
    <row r="190" spans="1:17" ht="15.75" customHeight="1">
      <c r="A190" s="123" t="e">
        <f t="shared" si="1"/>
        <v>#REF!</v>
      </c>
      <c r="Q190" s="2" t="e">
        <f t="shared" si="0"/>
        <v>#REF!</v>
      </c>
    </row>
    <row r="191" spans="1:17" ht="15.75" customHeight="1">
      <c r="A191" s="123" t="e">
        <f t="shared" si="1"/>
        <v>#REF!</v>
      </c>
      <c r="Q191" s="2" t="e">
        <f t="shared" si="0"/>
        <v>#REF!</v>
      </c>
    </row>
    <row r="192" spans="1:17" ht="15.75" customHeight="1">
      <c r="A192" s="123" t="e">
        <f t="shared" si="1"/>
        <v>#REF!</v>
      </c>
      <c r="Q192" s="2" t="e">
        <f t="shared" si="0"/>
        <v>#REF!</v>
      </c>
    </row>
    <row r="193" spans="1:17" ht="15.75" customHeight="1">
      <c r="A193" s="123" t="e">
        <f t="shared" si="1"/>
        <v>#REF!</v>
      </c>
      <c r="Q193" s="2" t="e">
        <f t="shared" si="0"/>
        <v>#REF!</v>
      </c>
    </row>
    <row r="194" spans="1:17" ht="15.75" customHeight="1">
      <c r="A194" s="123" t="e">
        <f t="shared" si="1"/>
        <v>#REF!</v>
      </c>
      <c r="Q194" s="2" t="e">
        <f t="shared" si="0"/>
        <v>#REF!</v>
      </c>
    </row>
    <row r="195" spans="1:17" ht="15.75" customHeight="1">
      <c r="A195" s="123" t="e">
        <f t="shared" si="1"/>
        <v>#REF!</v>
      </c>
      <c r="Q195" s="2" t="e">
        <f t="shared" si="0"/>
        <v>#REF!</v>
      </c>
    </row>
    <row r="196" spans="1:17" ht="15.75" customHeight="1">
      <c r="A196" s="123" t="e">
        <f t="shared" si="1"/>
        <v>#REF!</v>
      </c>
      <c r="Q196" s="2" t="e">
        <f t="shared" si="0"/>
        <v>#REF!</v>
      </c>
    </row>
    <row r="197" spans="1:17" ht="15.75" customHeight="1">
      <c r="A197" s="123" t="e">
        <f t="shared" si="1"/>
        <v>#REF!</v>
      </c>
      <c r="Q197" s="2" t="e">
        <f t="shared" si="0"/>
        <v>#REF!</v>
      </c>
    </row>
    <row r="198" spans="1:17" ht="15.75" customHeight="1">
      <c r="A198" s="123" t="e">
        <f t="shared" si="1"/>
        <v>#REF!</v>
      </c>
      <c r="Q198" s="2" t="e">
        <f t="shared" si="0"/>
        <v>#REF!</v>
      </c>
    </row>
    <row r="199" spans="1:17" ht="15.75" customHeight="1">
      <c r="A199" s="123" t="e">
        <f t="shared" si="1"/>
        <v>#REF!</v>
      </c>
      <c r="Q199" s="2" t="e">
        <f t="shared" si="0"/>
        <v>#REF!</v>
      </c>
    </row>
    <row r="200" spans="1:17" ht="15.75" customHeight="1">
      <c r="A200" s="123" t="e">
        <f t="shared" si="1"/>
        <v>#REF!</v>
      </c>
      <c r="Q200" s="2" t="e">
        <f t="shared" si="0"/>
        <v>#REF!</v>
      </c>
    </row>
    <row r="201" spans="1:17" ht="15.75" customHeight="1">
      <c r="A201" s="123" t="e">
        <f t="shared" si="1"/>
        <v>#REF!</v>
      </c>
      <c r="Q201" s="2" t="e">
        <f t="shared" si="0"/>
        <v>#REF!</v>
      </c>
    </row>
    <row r="202" spans="1:17" ht="15.75" customHeight="1">
      <c r="A202" s="123" t="e">
        <f t="shared" si="1"/>
        <v>#REF!</v>
      </c>
      <c r="Q202" s="2" t="e">
        <f t="shared" si="0"/>
        <v>#REF!</v>
      </c>
    </row>
    <row r="203" spans="1:17" ht="15.75" customHeight="1">
      <c r="A203" s="123" t="e">
        <f t="shared" si="1"/>
        <v>#REF!</v>
      </c>
      <c r="Q203" s="2" t="e">
        <f t="shared" si="0"/>
        <v>#REF!</v>
      </c>
    </row>
    <row r="204" spans="1:17" ht="15.75" customHeight="1">
      <c r="A204" s="123" t="e">
        <f t="shared" si="1"/>
        <v>#REF!</v>
      </c>
      <c r="Q204" s="2" t="e">
        <f t="shared" si="0"/>
        <v>#REF!</v>
      </c>
    </row>
    <row r="205" spans="1:17" ht="15.75" customHeight="1">
      <c r="A205" s="123" t="e">
        <f t="shared" si="1"/>
        <v>#REF!</v>
      </c>
      <c r="Q205" s="2" t="e">
        <f t="shared" si="0"/>
        <v>#REF!</v>
      </c>
    </row>
    <row r="206" spans="1:17" ht="15.75" customHeight="1">
      <c r="A206" s="123" t="e">
        <f t="shared" si="1"/>
        <v>#REF!</v>
      </c>
      <c r="Q206" s="2" t="e">
        <f t="shared" si="0"/>
        <v>#REF!</v>
      </c>
    </row>
    <row r="207" spans="1:17" ht="15.75" customHeight="1">
      <c r="A207" s="123" t="e">
        <f t="shared" si="1"/>
        <v>#REF!</v>
      </c>
      <c r="Q207" s="2" t="e">
        <f t="shared" si="0"/>
        <v>#REF!</v>
      </c>
    </row>
    <row r="208" spans="1:17" ht="15.75" customHeight="1">
      <c r="A208" s="123" t="e">
        <f t="shared" si="1"/>
        <v>#REF!</v>
      </c>
      <c r="Q208" s="2" t="e">
        <f t="shared" si="0"/>
        <v>#REF!</v>
      </c>
    </row>
    <row r="209" spans="1:17" ht="15.75" customHeight="1">
      <c r="A209" s="123" t="e">
        <f t="shared" si="1"/>
        <v>#REF!</v>
      </c>
      <c r="Q209" s="2" t="e">
        <f t="shared" si="0"/>
        <v>#REF!</v>
      </c>
    </row>
    <row r="210" spans="1:17" ht="15.75" customHeight="1">
      <c r="A210" s="123" t="e">
        <f t="shared" si="1"/>
        <v>#REF!</v>
      </c>
      <c r="Q210" s="2" t="e">
        <f t="shared" si="0"/>
        <v>#REF!</v>
      </c>
    </row>
    <row r="211" spans="1:17" ht="15.75" customHeight="1">
      <c r="A211" s="123" t="e">
        <f t="shared" si="1"/>
        <v>#REF!</v>
      </c>
      <c r="Q211" s="2" t="e">
        <f t="shared" si="0"/>
        <v>#REF!</v>
      </c>
    </row>
    <row r="212" spans="1:17" ht="15.75" customHeight="1">
      <c r="A212" s="123" t="e">
        <f t="shared" si="1"/>
        <v>#REF!</v>
      </c>
      <c r="Q212" s="2" t="e">
        <f t="shared" si="0"/>
        <v>#REF!</v>
      </c>
    </row>
    <row r="213" spans="1:17" ht="15.75" customHeight="1">
      <c r="A213" s="123" t="e">
        <f t="shared" si="1"/>
        <v>#REF!</v>
      </c>
      <c r="Q213" s="2" t="e">
        <f t="shared" si="0"/>
        <v>#REF!</v>
      </c>
    </row>
    <row r="214" spans="1:17" ht="15.75" customHeight="1">
      <c r="A214" s="123" t="e">
        <f t="shared" si="1"/>
        <v>#REF!</v>
      </c>
      <c r="Q214" s="2" t="e">
        <f t="shared" si="0"/>
        <v>#REF!</v>
      </c>
    </row>
    <row r="215" spans="1:17" ht="15.75" customHeight="1">
      <c r="A215" s="123" t="e">
        <f t="shared" si="1"/>
        <v>#REF!</v>
      </c>
      <c r="Q215" s="2" t="e">
        <f t="shared" si="0"/>
        <v>#REF!</v>
      </c>
    </row>
    <row r="216" spans="1:17" ht="15.75" customHeight="1">
      <c r="A216" s="123" t="e">
        <f t="shared" si="1"/>
        <v>#REF!</v>
      </c>
      <c r="Q216" s="2" t="e">
        <f t="shared" si="0"/>
        <v>#REF!</v>
      </c>
    </row>
    <row r="217" spans="1:17" ht="15.75" customHeight="1">
      <c r="A217" s="123" t="e">
        <f t="shared" si="1"/>
        <v>#REF!</v>
      </c>
      <c r="Q217" s="2" t="e">
        <f t="shared" si="0"/>
        <v>#REF!</v>
      </c>
    </row>
    <row r="218" spans="1:17" ht="15.75" customHeight="1">
      <c r="A218" s="123" t="e">
        <f t="shared" si="1"/>
        <v>#REF!</v>
      </c>
      <c r="Q218" s="2" t="e">
        <f t="shared" si="0"/>
        <v>#REF!</v>
      </c>
    </row>
    <row r="219" spans="1:17" ht="15.75" customHeight="1">
      <c r="A219" s="123" t="e">
        <f t="shared" si="1"/>
        <v>#REF!</v>
      </c>
      <c r="Q219" s="2" t="e">
        <f t="shared" si="0"/>
        <v>#REF!</v>
      </c>
    </row>
    <row r="220" spans="1:17" ht="15.75" customHeight="1">
      <c r="A220" s="123" t="e">
        <f t="shared" si="1"/>
        <v>#REF!</v>
      </c>
      <c r="Q220" s="2" t="e">
        <f t="shared" si="0"/>
        <v>#REF!</v>
      </c>
    </row>
    <row r="221" spans="1:17" ht="15.75" customHeight="1">
      <c r="A221" s="123" t="e">
        <f t="shared" si="1"/>
        <v>#REF!</v>
      </c>
      <c r="Q221" s="2" t="e">
        <f t="shared" si="0"/>
        <v>#REF!</v>
      </c>
    </row>
    <row r="222" spans="1:17" ht="15.75" customHeight="1">
      <c r="A222" s="123" t="e">
        <f t="shared" si="1"/>
        <v>#REF!</v>
      </c>
      <c r="Q222" s="2" t="e">
        <f t="shared" si="0"/>
        <v>#REF!</v>
      </c>
    </row>
    <row r="223" spans="1:17" ht="15.75" customHeight="1">
      <c r="A223" s="123" t="e">
        <f t="shared" si="1"/>
        <v>#REF!</v>
      </c>
      <c r="Q223" s="2" t="e">
        <f t="shared" si="0"/>
        <v>#REF!</v>
      </c>
    </row>
    <row r="224" spans="1:17" ht="15.75" customHeight="1">
      <c r="A224" s="123" t="e">
        <f t="shared" si="1"/>
        <v>#REF!</v>
      </c>
      <c r="Q224" s="2" t="e">
        <f t="shared" si="0"/>
        <v>#REF!</v>
      </c>
    </row>
    <row r="225" spans="1:17" ht="15.75" customHeight="1">
      <c r="A225" s="123" t="e">
        <f t="shared" si="1"/>
        <v>#REF!</v>
      </c>
      <c r="Q225" s="2" t="e">
        <f t="shared" si="0"/>
        <v>#REF!</v>
      </c>
    </row>
    <row r="226" spans="1:17" ht="15.75" customHeight="1">
      <c r="A226" s="123" t="e">
        <f t="shared" si="1"/>
        <v>#REF!</v>
      </c>
      <c r="Q226" s="2" t="e">
        <f t="shared" si="0"/>
        <v>#REF!</v>
      </c>
    </row>
    <row r="227" spans="1:17" ht="15.75" customHeight="1">
      <c r="A227" s="123" t="e">
        <f t="shared" si="1"/>
        <v>#REF!</v>
      </c>
      <c r="Q227" s="2" t="e">
        <f t="shared" si="0"/>
        <v>#REF!</v>
      </c>
    </row>
    <row r="228" spans="1:17" ht="15.75" customHeight="1">
      <c r="A228" s="123" t="e">
        <f t="shared" si="1"/>
        <v>#REF!</v>
      </c>
      <c r="Q228" s="2" t="e">
        <f t="shared" si="0"/>
        <v>#REF!</v>
      </c>
    </row>
    <row r="229" spans="1:17" ht="15.75" customHeight="1">
      <c r="A229" s="123" t="e">
        <f t="shared" si="1"/>
        <v>#REF!</v>
      </c>
      <c r="Q229" s="2" t="e">
        <f t="shared" si="0"/>
        <v>#REF!</v>
      </c>
    </row>
    <row r="230" spans="1:17" ht="15.75" customHeight="1">
      <c r="A230" s="123" t="e">
        <f t="shared" si="1"/>
        <v>#REF!</v>
      </c>
      <c r="Q230" s="2" t="e">
        <f t="shared" si="0"/>
        <v>#REF!</v>
      </c>
    </row>
    <row r="231" spans="1:17" ht="15.75" customHeight="1">
      <c r="A231" s="123" t="e">
        <f t="shared" si="1"/>
        <v>#REF!</v>
      </c>
      <c r="Q231" s="2" t="e">
        <f t="shared" si="0"/>
        <v>#REF!</v>
      </c>
    </row>
    <row r="232" spans="1:17" ht="15.75" customHeight="1">
      <c r="A232" s="123" t="e">
        <f t="shared" si="1"/>
        <v>#REF!</v>
      </c>
      <c r="Q232" s="2" t="e">
        <f t="shared" si="0"/>
        <v>#REF!</v>
      </c>
    </row>
    <row r="233" spans="1:17" ht="15.75" customHeight="1">
      <c r="A233" s="123" t="e">
        <f t="shared" si="1"/>
        <v>#REF!</v>
      </c>
      <c r="Q233" s="2" t="e">
        <f t="shared" si="0"/>
        <v>#REF!</v>
      </c>
    </row>
    <row r="234" spans="1:17" ht="15.75" customHeight="1">
      <c r="A234" s="123" t="e">
        <f t="shared" si="1"/>
        <v>#REF!</v>
      </c>
      <c r="Q234" s="2" t="e">
        <f t="shared" si="0"/>
        <v>#REF!</v>
      </c>
    </row>
    <row r="235" spans="1:17" ht="15.75" customHeight="1">
      <c r="A235" s="123" t="e">
        <f t="shared" si="1"/>
        <v>#REF!</v>
      </c>
      <c r="Q235" s="2" t="e">
        <f t="shared" si="0"/>
        <v>#REF!</v>
      </c>
    </row>
    <row r="236" spans="1:17" ht="15.75" customHeight="1">
      <c r="A236" s="123" t="e">
        <f t="shared" si="1"/>
        <v>#REF!</v>
      </c>
      <c r="Q236" s="2" t="e">
        <f t="shared" si="0"/>
        <v>#REF!</v>
      </c>
    </row>
    <row r="237" spans="1:17" ht="15.75" customHeight="1">
      <c r="A237" s="123" t="e">
        <f t="shared" si="1"/>
        <v>#REF!</v>
      </c>
      <c r="Q237" s="2" t="e">
        <f t="shared" si="0"/>
        <v>#REF!</v>
      </c>
    </row>
    <row r="238" spans="1:17" ht="15.75" customHeight="1">
      <c r="A238" s="123" t="e">
        <f t="shared" si="1"/>
        <v>#REF!</v>
      </c>
      <c r="Q238" s="2" t="e">
        <f t="shared" si="0"/>
        <v>#REF!</v>
      </c>
    </row>
    <row r="239" spans="1:17" ht="15.75" customHeight="1">
      <c r="A239" s="123" t="e">
        <f t="shared" si="1"/>
        <v>#REF!</v>
      </c>
      <c r="Q239" s="2" t="e">
        <f t="shared" si="0"/>
        <v>#REF!</v>
      </c>
    </row>
    <row r="240" spans="1:17" ht="15.75" customHeight="1">
      <c r="A240" s="123" t="e">
        <f t="shared" si="1"/>
        <v>#REF!</v>
      </c>
      <c r="Q240" s="2" t="e">
        <f t="shared" si="0"/>
        <v>#REF!</v>
      </c>
    </row>
    <row r="241" spans="1:17" ht="15.75" customHeight="1">
      <c r="A241" s="123" t="e">
        <f t="shared" si="1"/>
        <v>#REF!</v>
      </c>
      <c r="Q241" s="2" t="e">
        <f t="shared" si="0"/>
        <v>#REF!</v>
      </c>
    </row>
    <row r="242" spans="1:17" ht="15.75" customHeight="1">
      <c r="A242" s="123" t="e">
        <f t="shared" si="1"/>
        <v>#REF!</v>
      </c>
      <c r="Q242" s="2" t="e">
        <f t="shared" si="0"/>
        <v>#REF!</v>
      </c>
    </row>
    <row r="243" spans="1:17" ht="15.75" customHeight="1">
      <c r="A243" s="123" t="e">
        <f t="shared" si="1"/>
        <v>#REF!</v>
      </c>
      <c r="Q243" s="2" t="e">
        <f t="shared" si="0"/>
        <v>#REF!</v>
      </c>
    </row>
    <row r="244" spans="1:17" ht="15.75" customHeight="1">
      <c r="A244" s="123" t="e">
        <f t="shared" si="1"/>
        <v>#REF!</v>
      </c>
      <c r="Q244" s="2" t="e">
        <f t="shared" si="0"/>
        <v>#REF!</v>
      </c>
    </row>
    <row r="245" spans="1:17" ht="15.75" customHeight="1">
      <c r="A245" s="123" t="e">
        <f t="shared" si="1"/>
        <v>#REF!</v>
      </c>
      <c r="Q245" s="2" t="e">
        <f t="shared" si="0"/>
        <v>#REF!</v>
      </c>
    </row>
    <row r="246" spans="1:17" ht="15.75" customHeight="1">
      <c r="A246" s="123" t="e">
        <f t="shared" si="1"/>
        <v>#REF!</v>
      </c>
      <c r="Q246" s="2" t="e">
        <f t="shared" si="0"/>
        <v>#REF!</v>
      </c>
    </row>
    <row r="247" spans="1:17" ht="15.75" customHeight="1">
      <c r="A247" s="123" t="e">
        <f t="shared" si="1"/>
        <v>#REF!</v>
      </c>
      <c r="Q247" s="2" t="e">
        <f t="shared" si="0"/>
        <v>#REF!</v>
      </c>
    </row>
    <row r="248" spans="1:17" ht="15.75" customHeight="1">
      <c r="A248" s="123" t="e">
        <f t="shared" si="1"/>
        <v>#REF!</v>
      </c>
      <c r="Q248" s="2" t="e">
        <f t="shared" si="0"/>
        <v>#REF!</v>
      </c>
    </row>
    <row r="249" spans="1:17" ht="15.75" customHeight="1">
      <c r="A249" s="123" t="e">
        <f t="shared" si="1"/>
        <v>#REF!</v>
      </c>
      <c r="Q249" s="2" t="e">
        <f t="shared" si="0"/>
        <v>#REF!</v>
      </c>
    </row>
    <row r="250" spans="1:17" ht="15.75" customHeight="1">
      <c r="A250" s="123" t="e">
        <f t="shared" si="1"/>
        <v>#REF!</v>
      </c>
      <c r="Q250" s="2" t="e">
        <f t="shared" si="0"/>
        <v>#REF!</v>
      </c>
    </row>
    <row r="251" spans="1:17" ht="15.75" customHeight="1">
      <c r="A251" s="123" t="e">
        <f t="shared" si="1"/>
        <v>#REF!</v>
      </c>
      <c r="Q251" s="2" t="e">
        <f t="shared" si="0"/>
        <v>#REF!</v>
      </c>
    </row>
    <row r="252" spans="1:17" ht="15.75" customHeight="1">
      <c r="A252" s="123" t="e">
        <f t="shared" si="1"/>
        <v>#REF!</v>
      </c>
      <c r="Q252" s="2" t="e">
        <f t="shared" si="0"/>
        <v>#REF!</v>
      </c>
    </row>
    <row r="253" spans="1:17" ht="15.75" customHeight="1">
      <c r="A253" s="123" t="e">
        <f t="shared" si="1"/>
        <v>#REF!</v>
      </c>
      <c r="Q253" s="2" t="e">
        <f t="shared" si="0"/>
        <v>#REF!</v>
      </c>
    </row>
    <row r="254" spans="1:17" ht="15.75" customHeight="1">
      <c r="A254" s="123" t="e">
        <f t="shared" si="1"/>
        <v>#REF!</v>
      </c>
      <c r="Q254" s="2" t="e">
        <f t="shared" si="0"/>
        <v>#REF!</v>
      </c>
    </row>
    <row r="255" spans="1:17" ht="15.75" customHeight="1">
      <c r="A255" s="123" t="e">
        <f t="shared" si="1"/>
        <v>#REF!</v>
      </c>
      <c r="Q255" s="2" t="e">
        <f t="shared" si="0"/>
        <v>#REF!</v>
      </c>
    </row>
    <row r="256" spans="1:17" ht="15.75" customHeight="1">
      <c r="A256" s="123" t="e">
        <f t="shared" si="1"/>
        <v>#REF!</v>
      </c>
      <c r="Q256" s="2" t="e">
        <f t="shared" si="0"/>
        <v>#REF!</v>
      </c>
    </row>
    <row r="257" spans="1:17" ht="15.75" customHeight="1">
      <c r="A257" s="123" t="e">
        <f t="shared" si="1"/>
        <v>#REF!</v>
      </c>
      <c r="Q257" s="2" t="e">
        <f t="shared" si="0"/>
        <v>#REF!</v>
      </c>
    </row>
    <row r="258" spans="1:17" ht="15.75" customHeight="1">
      <c r="A258" s="123" t="e">
        <f t="shared" si="1"/>
        <v>#REF!</v>
      </c>
      <c r="Q258" s="2" t="e">
        <f t="shared" si="0"/>
        <v>#REF!</v>
      </c>
    </row>
    <row r="259" spans="1:17" ht="15.75" customHeight="1">
      <c r="A259" s="123" t="e">
        <f t="shared" si="1"/>
        <v>#REF!</v>
      </c>
      <c r="Q259" s="2" t="e">
        <f t="shared" si="0"/>
        <v>#REF!</v>
      </c>
    </row>
    <row r="260" spans="1:17" ht="15.75" customHeight="1">
      <c r="A260" s="123" t="e">
        <f t="shared" si="1"/>
        <v>#REF!</v>
      </c>
      <c r="Q260" s="2" t="e">
        <f t="shared" si="0"/>
        <v>#REF!</v>
      </c>
    </row>
    <row r="261" spans="1:17" ht="15.75" customHeight="1">
      <c r="A261" s="123" t="e">
        <f t="shared" si="1"/>
        <v>#REF!</v>
      </c>
      <c r="Q261" s="2" t="e">
        <f t="shared" si="0"/>
        <v>#REF!</v>
      </c>
    </row>
    <row r="262" spans="1:17" ht="15.75" customHeight="1">
      <c r="A262" s="123" t="e">
        <f t="shared" si="1"/>
        <v>#REF!</v>
      </c>
      <c r="Q262" s="2" t="e">
        <f t="shared" si="0"/>
        <v>#REF!</v>
      </c>
    </row>
    <row r="263" spans="1:17" ht="15.75" customHeight="1">
      <c r="A263" s="123" t="e">
        <f t="shared" si="1"/>
        <v>#REF!</v>
      </c>
      <c r="Q263" s="2" t="e">
        <f t="shared" si="0"/>
        <v>#REF!</v>
      </c>
    </row>
    <row r="264" spans="1:17" ht="15.75" customHeight="1">
      <c r="A264" s="123" t="e">
        <f t="shared" si="1"/>
        <v>#REF!</v>
      </c>
      <c r="Q264" s="2" t="e">
        <f t="shared" si="0"/>
        <v>#REF!</v>
      </c>
    </row>
    <row r="265" spans="1:17" ht="15.75" customHeight="1">
      <c r="A265" s="123" t="e">
        <f t="shared" si="1"/>
        <v>#REF!</v>
      </c>
      <c r="Q265" s="2" t="e">
        <f t="shared" si="0"/>
        <v>#REF!</v>
      </c>
    </row>
    <row r="266" spans="1:17" ht="15.75" customHeight="1">
      <c r="A266" s="123" t="e">
        <f t="shared" si="1"/>
        <v>#REF!</v>
      </c>
      <c r="Q266" s="2" t="e">
        <f t="shared" si="0"/>
        <v>#REF!</v>
      </c>
    </row>
    <row r="267" spans="1:17" ht="15.75" customHeight="1">
      <c r="A267" s="123" t="e">
        <f t="shared" si="1"/>
        <v>#REF!</v>
      </c>
      <c r="Q267" s="2" t="e">
        <f t="shared" si="0"/>
        <v>#REF!</v>
      </c>
    </row>
    <row r="268" spans="1:17" ht="15.75" customHeight="1">
      <c r="A268" s="123" t="e">
        <f t="shared" si="1"/>
        <v>#REF!</v>
      </c>
      <c r="Q268" s="2" t="e">
        <f t="shared" si="0"/>
        <v>#REF!</v>
      </c>
    </row>
    <row r="269" spans="1:17" ht="15.75" customHeight="1">
      <c r="A269" s="123" t="e">
        <f t="shared" si="1"/>
        <v>#REF!</v>
      </c>
      <c r="Q269" s="2" t="e">
        <f t="shared" si="0"/>
        <v>#REF!</v>
      </c>
    </row>
    <row r="270" spans="1:17" ht="15.75" customHeight="1">
      <c r="A270" s="123" t="e">
        <f t="shared" si="1"/>
        <v>#REF!</v>
      </c>
      <c r="Q270" s="2" t="e">
        <f t="shared" si="0"/>
        <v>#REF!</v>
      </c>
    </row>
    <row r="271" spans="1:17" ht="15.75" customHeight="1">
      <c r="A271" s="123" t="e">
        <f t="shared" si="1"/>
        <v>#REF!</v>
      </c>
      <c r="Q271" s="2" t="e">
        <f t="shared" si="0"/>
        <v>#REF!</v>
      </c>
    </row>
    <row r="272" spans="1:17" ht="15.75" customHeight="1">
      <c r="A272" s="123" t="e">
        <f t="shared" si="1"/>
        <v>#REF!</v>
      </c>
      <c r="Q272" s="2" t="e">
        <f t="shared" si="0"/>
        <v>#REF!</v>
      </c>
    </row>
    <row r="273" spans="1:17" ht="15.75" customHeight="1">
      <c r="A273" s="123" t="e">
        <f t="shared" si="1"/>
        <v>#REF!</v>
      </c>
      <c r="Q273" s="2" t="e">
        <f t="shared" si="0"/>
        <v>#REF!</v>
      </c>
    </row>
    <row r="274" spans="1:17" ht="15.75" customHeight="1">
      <c r="A274" s="123" t="e">
        <f t="shared" si="1"/>
        <v>#REF!</v>
      </c>
      <c r="Q274" s="2" t="e">
        <f t="shared" si="0"/>
        <v>#REF!</v>
      </c>
    </row>
    <row r="275" spans="1:17" ht="15.75" customHeight="1">
      <c r="A275" s="123" t="e">
        <f t="shared" si="1"/>
        <v>#REF!</v>
      </c>
      <c r="Q275" s="2" t="e">
        <f t="shared" si="0"/>
        <v>#REF!</v>
      </c>
    </row>
    <row r="276" spans="1:17" ht="15.75" customHeight="1">
      <c r="A276" s="123" t="e">
        <f t="shared" si="1"/>
        <v>#REF!</v>
      </c>
      <c r="Q276" s="2" t="e">
        <f t="shared" si="0"/>
        <v>#REF!</v>
      </c>
    </row>
    <row r="277" spans="1:17" ht="15.75" customHeight="1">
      <c r="A277" s="123" t="e">
        <f t="shared" si="1"/>
        <v>#REF!</v>
      </c>
      <c r="Q277" s="2" t="e">
        <f t="shared" si="0"/>
        <v>#REF!</v>
      </c>
    </row>
    <row r="278" spans="1:17" ht="15.75" customHeight="1">
      <c r="A278" s="123" t="e">
        <f t="shared" si="1"/>
        <v>#REF!</v>
      </c>
      <c r="Q278" s="2" t="e">
        <f t="shared" si="0"/>
        <v>#REF!</v>
      </c>
    </row>
    <row r="279" spans="1:17" ht="15.75" customHeight="1">
      <c r="A279" s="123" t="e">
        <f t="shared" si="1"/>
        <v>#REF!</v>
      </c>
      <c r="Q279" s="2" t="e">
        <f t="shared" si="0"/>
        <v>#REF!</v>
      </c>
    </row>
    <row r="280" spans="1:17" ht="15.75" customHeight="1">
      <c r="A280" s="123" t="e">
        <f t="shared" si="1"/>
        <v>#REF!</v>
      </c>
      <c r="Q280" s="2" t="e">
        <f t="shared" si="0"/>
        <v>#REF!</v>
      </c>
    </row>
    <row r="281" spans="1:17" ht="15.75" customHeight="1">
      <c r="A281" s="123" t="e">
        <f t="shared" si="1"/>
        <v>#REF!</v>
      </c>
      <c r="Q281" s="2" t="e">
        <f t="shared" si="0"/>
        <v>#REF!</v>
      </c>
    </row>
    <row r="282" spans="1:17" ht="15.75" customHeight="1">
      <c r="A282" s="123" t="e">
        <f t="shared" si="1"/>
        <v>#REF!</v>
      </c>
      <c r="Q282" s="2" t="e">
        <f t="shared" si="0"/>
        <v>#REF!</v>
      </c>
    </row>
    <row r="283" spans="1:17" ht="15.75" customHeight="1">
      <c r="A283" s="123" t="e">
        <f t="shared" si="1"/>
        <v>#REF!</v>
      </c>
      <c r="Q283" s="2" t="e">
        <f t="shared" si="0"/>
        <v>#REF!</v>
      </c>
    </row>
    <row r="284" spans="1:17" ht="15.75" customHeight="1">
      <c r="A284" s="123" t="e">
        <f t="shared" si="1"/>
        <v>#REF!</v>
      </c>
      <c r="Q284" s="2" t="e">
        <f t="shared" si="0"/>
        <v>#REF!</v>
      </c>
    </row>
    <row r="285" spans="1:17" ht="15.75" customHeight="1">
      <c r="A285" s="123" t="e">
        <f t="shared" si="1"/>
        <v>#REF!</v>
      </c>
      <c r="Q285" s="2" t="e">
        <f t="shared" si="0"/>
        <v>#REF!</v>
      </c>
    </row>
    <row r="286" spans="1:17" ht="15.75" customHeight="1">
      <c r="A286" s="123" t="e">
        <f t="shared" si="1"/>
        <v>#REF!</v>
      </c>
      <c r="Q286" s="2" t="e">
        <f t="shared" si="0"/>
        <v>#REF!</v>
      </c>
    </row>
    <row r="287" spans="1:17" ht="15.75" customHeight="1">
      <c r="A287" s="123" t="e">
        <f t="shared" si="1"/>
        <v>#REF!</v>
      </c>
      <c r="Q287" s="2" t="e">
        <f t="shared" si="0"/>
        <v>#REF!</v>
      </c>
    </row>
    <row r="288" spans="1:17" ht="15.75" customHeight="1">
      <c r="A288" s="123" t="e">
        <f t="shared" si="1"/>
        <v>#REF!</v>
      </c>
      <c r="Q288" s="2" t="e">
        <f t="shared" si="0"/>
        <v>#REF!</v>
      </c>
    </row>
    <row r="289" spans="1:17" ht="15.75" customHeight="1">
      <c r="A289" s="123" t="e">
        <f t="shared" si="1"/>
        <v>#REF!</v>
      </c>
      <c r="Q289" s="2" t="e">
        <f t="shared" si="0"/>
        <v>#REF!</v>
      </c>
    </row>
    <row r="290" spans="1:17" ht="15.75" customHeight="1">
      <c r="A290" s="123" t="e">
        <f t="shared" si="1"/>
        <v>#REF!</v>
      </c>
      <c r="Q290" s="2" t="e">
        <f t="shared" si="0"/>
        <v>#REF!</v>
      </c>
    </row>
    <row r="291" spans="1:17" ht="15.75" customHeight="1">
      <c r="A291" s="123" t="e">
        <f t="shared" si="1"/>
        <v>#REF!</v>
      </c>
      <c r="Q291" s="2" t="e">
        <f t="shared" si="0"/>
        <v>#REF!</v>
      </c>
    </row>
    <row r="292" spans="1:17" ht="15.75" customHeight="1">
      <c r="A292" s="123" t="e">
        <f t="shared" si="1"/>
        <v>#REF!</v>
      </c>
      <c r="Q292" s="2" t="e">
        <f t="shared" si="0"/>
        <v>#REF!</v>
      </c>
    </row>
    <row r="293" spans="1:17" ht="15.75" customHeight="1">
      <c r="A293" s="123" t="e">
        <f t="shared" si="1"/>
        <v>#REF!</v>
      </c>
      <c r="Q293" s="2" t="e">
        <f t="shared" si="0"/>
        <v>#REF!</v>
      </c>
    </row>
    <row r="294" spans="1:17" ht="15.75" customHeight="1">
      <c r="A294" s="123" t="e">
        <f t="shared" si="1"/>
        <v>#REF!</v>
      </c>
      <c r="Q294" s="2" t="e">
        <f t="shared" si="0"/>
        <v>#REF!</v>
      </c>
    </row>
    <row r="295" spans="1:17" ht="15.75" customHeight="1">
      <c r="A295" s="123" t="e">
        <f t="shared" si="1"/>
        <v>#REF!</v>
      </c>
      <c r="Q295" s="2" t="e">
        <f t="shared" si="0"/>
        <v>#REF!</v>
      </c>
    </row>
    <row r="296" spans="1:17" ht="15.75" customHeight="1">
      <c r="A296" s="123" t="e">
        <f t="shared" si="1"/>
        <v>#REF!</v>
      </c>
      <c r="Q296" s="2" t="e">
        <f t="shared" si="0"/>
        <v>#REF!</v>
      </c>
    </row>
    <row r="297" spans="1:17" ht="15.75" customHeight="1">
      <c r="A297" s="123" t="e">
        <f t="shared" si="1"/>
        <v>#REF!</v>
      </c>
      <c r="Q297" s="2" t="e">
        <f t="shared" si="0"/>
        <v>#REF!</v>
      </c>
    </row>
    <row r="298" spans="1:17" ht="15.75" customHeight="1">
      <c r="A298" s="123" t="e">
        <f t="shared" si="1"/>
        <v>#REF!</v>
      </c>
      <c r="Q298" s="2" t="e">
        <f t="shared" si="0"/>
        <v>#REF!</v>
      </c>
    </row>
    <row r="299" spans="1:17" ht="15.75" customHeight="1">
      <c r="A299" s="123" t="e">
        <f t="shared" si="1"/>
        <v>#REF!</v>
      </c>
      <c r="Q299" s="2" t="e">
        <f t="shared" si="0"/>
        <v>#REF!</v>
      </c>
    </row>
    <row r="300" spans="1:17" ht="15.75" customHeight="1">
      <c r="A300" s="123" t="e">
        <f t="shared" si="1"/>
        <v>#REF!</v>
      </c>
      <c r="Q300" s="2" t="e">
        <f t="shared" si="0"/>
        <v>#REF!</v>
      </c>
    </row>
    <row r="301" spans="1:17" ht="15.75" customHeight="1">
      <c r="A301" s="123" t="e">
        <f t="shared" si="1"/>
        <v>#REF!</v>
      </c>
      <c r="Q301" s="2" t="e">
        <f t="shared" si="0"/>
        <v>#REF!</v>
      </c>
    </row>
    <row r="302" spans="1:17" ht="15.75" customHeight="1">
      <c r="A302" s="123" t="e">
        <f t="shared" si="1"/>
        <v>#REF!</v>
      </c>
      <c r="Q302" s="2" t="e">
        <f t="shared" si="0"/>
        <v>#REF!</v>
      </c>
    </row>
    <row r="303" spans="1:17" ht="15.75" customHeight="1">
      <c r="A303" s="123" t="e">
        <f t="shared" si="1"/>
        <v>#REF!</v>
      </c>
      <c r="Q303" s="2" t="e">
        <f t="shared" si="0"/>
        <v>#REF!</v>
      </c>
    </row>
    <row r="304" spans="1:17" ht="15.75" customHeight="1">
      <c r="A304" s="123" t="e">
        <f t="shared" si="1"/>
        <v>#REF!</v>
      </c>
      <c r="Q304" s="2" t="e">
        <f t="shared" si="0"/>
        <v>#REF!</v>
      </c>
    </row>
    <row r="305" spans="1:17" ht="15.75" customHeight="1">
      <c r="A305" s="123" t="e">
        <f t="shared" si="1"/>
        <v>#REF!</v>
      </c>
      <c r="Q305" s="2" t="e">
        <f t="shared" si="0"/>
        <v>#REF!</v>
      </c>
    </row>
    <row r="306" spans="1:17" ht="15.75" customHeight="1">
      <c r="A306" s="123" t="e">
        <f t="shared" si="1"/>
        <v>#REF!</v>
      </c>
      <c r="Q306" s="2" t="e">
        <f t="shared" si="0"/>
        <v>#REF!</v>
      </c>
    </row>
    <row r="307" spans="1:17" ht="15.75" customHeight="1">
      <c r="A307" s="123" t="e">
        <f t="shared" si="1"/>
        <v>#REF!</v>
      </c>
      <c r="Q307" s="2" t="e">
        <f t="shared" si="0"/>
        <v>#REF!</v>
      </c>
    </row>
    <row r="308" spans="1:17" ht="15.75" customHeight="1">
      <c r="A308" s="123" t="e">
        <f t="shared" si="1"/>
        <v>#REF!</v>
      </c>
      <c r="Q308" s="2" t="e">
        <f t="shared" si="0"/>
        <v>#REF!</v>
      </c>
    </row>
    <row r="309" spans="1:17" ht="15.75" customHeight="1">
      <c r="A309" s="123" t="e">
        <f t="shared" si="1"/>
        <v>#REF!</v>
      </c>
      <c r="Q309" s="2" t="e">
        <f t="shared" si="0"/>
        <v>#REF!</v>
      </c>
    </row>
    <row r="310" spans="1:17" ht="15.75" customHeight="1">
      <c r="A310" s="123" t="e">
        <f t="shared" si="1"/>
        <v>#REF!</v>
      </c>
      <c r="Q310" s="2" t="e">
        <f t="shared" si="0"/>
        <v>#REF!</v>
      </c>
    </row>
    <row r="311" spans="1:17" ht="15.75" customHeight="1">
      <c r="A311" s="123" t="e">
        <f t="shared" si="1"/>
        <v>#REF!</v>
      </c>
      <c r="Q311" s="2" t="e">
        <f t="shared" si="0"/>
        <v>#REF!</v>
      </c>
    </row>
    <row r="312" spans="1:17" ht="15.75" customHeight="1">
      <c r="A312" s="123" t="e">
        <f t="shared" si="1"/>
        <v>#REF!</v>
      </c>
      <c r="Q312" s="2" t="e">
        <f t="shared" si="0"/>
        <v>#REF!</v>
      </c>
    </row>
    <row r="313" spans="1:17" ht="15.75" customHeight="1">
      <c r="A313" s="123" t="e">
        <f t="shared" si="1"/>
        <v>#REF!</v>
      </c>
      <c r="Q313" s="2" t="e">
        <f t="shared" si="0"/>
        <v>#REF!</v>
      </c>
    </row>
    <row r="314" spans="1:17" ht="15.75" customHeight="1">
      <c r="A314" s="123" t="e">
        <f t="shared" si="1"/>
        <v>#REF!</v>
      </c>
      <c r="Q314" s="2" t="e">
        <f t="shared" si="0"/>
        <v>#REF!</v>
      </c>
    </row>
    <row r="315" spans="1:17" ht="15.75" customHeight="1">
      <c r="A315" s="123" t="e">
        <f t="shared" si="1"/>
        <v>#REF!</v>
      </c>
      <c r="Q315" s="2" t="e">
        <f t="shared" si="0"/>
        <v>#REF!</v>
      </c>
    </row>
    <row r="316" spans="1:17" ht="15.75" customHeight="1">
      <c r="A316" s="123" t="e">
        <f t="shared" si="1"/>
        <v>#REF!</v>
      </c>
      <c r="Q316" s="2" t="e">
        <f t="shared" si="0"/>
        <v>#REF!</v>
      </c>
    </row>
    <row r="317" spans="1:17" ht="15.75" customHeight="1">
      <c r="A317" s="123" t="e">
        <f t="shared" si="1"/>
        <v>#REF!</v>
      </c>
      <c r="Q317" s="2" t="e">
        <f t="shared" si="0"/>
        <v>#REF!</v>
      </c>
    </row>
    <row r="318" spans="1:17" ht="15.75" customHeight="1">
      <c r="A318" s="123" t="e">
        <f t="shared" si="1"/>
        <v>#REF!</v>
      </c>
      <c r="Q318" s="2" t="e">
        <f t="shared" si="0"/>
        <v>#REF!</v>
      </c>
    </row>
    <row r="319" spans="1:17" ht="15.75" customHeight="1">
      <c r="A319" s="123" t="e">
        <f t="shared" si="1"/>
        <v>#REF!</v>
      </c>
      <c r="Q319" s="2" t="e">
        <f t="shared" si="0"/>
        <v>#REF!</v>
      </c>
    </row>
    <row r="320" spans="1:17" ht="15.75" customHeight="1">
      <c r="A320" s="123" t="e">
        <f t="shared" si="1"/>
        <v>#REF!</v>
      </c>
      <c r="Q320" s="2" t="e">
        <f t="shared" si="0"/>
        <v>#REF!</v>
      </c>
    </row>
    <row r="321" spans="1:17" ht="15.75" customHeight="1">
      <c r="A321" s="123" t="e">
        <f t="shared" si="1"/>
        <v>#REF!</v>
      </c>
      <c r="Q321" s="2" t="e">
        <f t="shared" si="0"/>
        <v>#REF!</v>
      </c>
    </row>
    <row r="322" spans="1:17" ht="15.75" customHeight="1">
      <c r="A322" s="123" t="e">
        <f t="shared" si="1"/>
        <v>#REF!</v>
      </c>
      <c r="Q322" s="2" t="e">
        <f t="shared" si="0"/>
        <v>#REF!</v>
      </c>
    </row>
    <row r="323" spans="1:17" ht="15.75" customHeight="1">
      <c r="A323" s="123" t="e">
        <f t="shared" si="1"/>
        <v>#REF!</v>
      </c>
      <c r="Q323" s="2" t="e">
        <f t="shared" si="0"/>
        <v>#REF!</v>
      </c>
    </row>
    <row r="324" spans="1:17" ht="15.75" customHeight="1">
      <c r="A324" s="123" t="e">
        <f t="shared" si="1"/>
        <v>#REF!</v>
      </c>
      <c r="Q324" s="2" t="e">
        <f t="shared" si="0"/>
        <v>#REF!</v>
      </c>
    </row>
    <row r="325" spans="1:17" ht="15.75" customHeight="1">
      <c r="A325" s="123" t="e">
        <f t="shared" si="1"/>
        <v>#REF!</v>
      </c>
      <c r="Q325" s="2" t="e">
        <f t="shared" si="0"/>
        <v>#REF!</v>
      </c>
    </row>
    <row r="326" spans="1:17" ht="15.75" customHeight="1">
      <c r="A326" s="123" t="e">
        <f t="shared" si="1"/>
        <v>#REF!</v>
      </c>
      <c r="Q326" s="2" t="e">
        <f t="shared" si="0"/>
        <v>#REF!</v>
      </c>
    </row>
    <row r="327" spans="1:17" ht="15.75" customHeight="1">
      <c r="A327" s="123" t="e">
        <f t="shared" si="1"/>
        <v>#REF!</v>
      </c>
      <c r="Q327" s="2" t="e">
        <f t="shared" si="0"/>
        <v>#REF!</v>
      </c>
    </row>
    <row r="328" spans="1:17" ht="15.75" customHeight="1">
      <c r="A328" s="123" t="e">
        <f t="shared" si="1"/>
        <v>#REF!</v>
      </c>
      <c r="Q328" s="2" t="e">
        <f t="shared" si="0"/>
        <v>#REF!</v>
      </c>
    </row>
    <row r="329" spans="1:17" ht="15.75" customHeight="1">
      <c r="A329" s="123" t="e">
        <f t="shared" si="1"/>
        <v>#REF!</v>
      </c>
      <c r="Q329" s="2" t="e">
        <f t="shared" si="0"/>
        <v>#REF!</v>
      </c>
    </row>
    <row r="330" spans="1:17" ht="15.75" customHeight="1">
      <c r="A330" s="123" t="e">
        <f t="shared" si="1"/>
        <v>#REF!</v>
      </c>
      <c r="Q330" s="2" t="e">
        <f t="shared" si="0"/>
        <v>#REF!</v>
      </c>
    </row>
    <row r="331" spans="1:17" ht="15.75" customHeight="1">
      <c r="A331" s="123" t="e">
        <f t="shared" si="1"/>
        <v>#REF!</v>
      </c>
      <c r="Q331" s="2" t="e">
        <f t="shared" si="0"/>
        <v>#REF!</v>
      </c>
    </row>
    <row r="332" spans="1:17" ht="15.75" customHeight="1">
      <c r="A332" s="123" t="e">
        <f t="shared" si="1"/>
        <v>#REF!</v>
      </c>
      <c r="Q332" s="2" t="e">
        <f t="shared" si="0"/>
        <v>#REF!</v>
      </c>
    </row>
    <row r="333" spans="1:17" ht="15.75" customHeight="1">
      <c r="A333" s="123" t="e">
        <f t="shared" si="1"/>
        <v>#REF!</v>
      </c>
      <c r="Q333" s="2" t="e">
        <f t="shared" si="0"/>
        <v>#REF!</v>
      </c>
    </row>
    <row r="334" spans="1:17" ht="15.75" customHeight="1">
      <c r="A334" s="123" t="e">
        <f t="shared" si="1"/>
        <v>#REF!</v>
      </c>
      <c r="Q334" s="2" t="e">
        <f t="shared" si="0"/>
        <v>#REF!</v>
      </c>
    </row>
    <row r="335" spans="1:17" ht="15.75" customHeight="1">
      <c r="A335" s="123" t="e">
        <f t="shared" si="1"/>
        <v>#REF!</v>
      </c>
      <c r="Q335" s="2" t="e">
        <f t="shared" si="0"/>
        <v>#REF!</v>
      </c>
    </row>
    <row r="336" spans="1:17" ht="15.75" customHeight="1">
      <c r="A336" s="123" t="e">
        <f t="shared" si="1"/>
        <v>#REF!</v>
      </c>
      <c r="Q336" s="2" t="e">
        <f t="shared" si="0"/>
        <v>#REF!</v>
      </c>
    </row>
    <row r="337" spans="1:17" ht="15.75" customHeight="1">
      <c r="A337" s="123" t="e">
        <f t="shared" si="1"/>
        <v>#REF!</v>
      </c>
      <c r="Q337" s="2" t="e">
        <f t="shared" si="0"/>
        <v>#REF!</v>
      </c>
    </row>
    <row r="338" spans="1:17" ht="15.75" customHeight="1">
      <c r="A338" s="123" t="e">
        <f t="shared" si="1"/>
        <v>#REF!</v>
      </c>
      <c r="Q338" s="2" t="e">
        <f t="shared" si="0"/>
        <v>#REF!</v>
      </c>
    </row>
    <row r="339" spans="1:17" ht="15.75" customHeight="1">
      <c r="A339" s="123" t="e">
        <f t="shared" si="1"/>
        <v>#REF!</v>
      </c>
      <c r="Q339" s="2" t="e">
        <f t="shared" si="0"/>
        <v>#REF!</v>
      </c>
    </row>
    <row r="340" spans="1:17" ht="15.75" customHeight="1">
      <c r="A340" s="123" t="e">
        <f t="shared" si="1"/>
        <v>#REF!</v>
      </c>
      <c r="Q340" s="2" t="e">
        <f t="shared" si="0"/>
        <v>#REF!</v>
      </c>
    </row>
    <row r="341" spans="1:17" ht="15.75" customHeight="1">
      <c r="A341" s="123" t="e">
        <f t="shared" si="1"/>
        <v>#REF!</v>
      </c>
      <c r="Q341" s="2" t="e">
        <f t="shared" si="0"/>
        <v>#REF!</v>
      </c>
    </row>
    <row r="342" spans="1:17" ht="15.75" customHeight="1">
      <c r="A342" s="123" t="e">
        <f t="shared" si="1"/>
        <v>#REF!</v>
      </c>
      <c r="Q342" s="2" t="e">
        <f t="shared" si="0"/>
        <v>#REF!</v>
      </c>
    </row>
    <row r="343" spans="1:17" ht="15.75" customHeight="1">
      <c r="A343" s="123" t="e">
        <f t="shared" si="1"/>
        <v>#REF!</v>
      </c>
      <c r="Q343" s="2" t="e">
        <f t="shared" si="0"/>
        <v>#REF!</v>
      </c>
    </row>
    <row r="344" spans="1:17" ht="15.75" customHeight="1">
      <c r="A344" s="123" t="e">
        <f t="shared" si="1"/>
        <v>#REF!</v>
      </c>
      <c r="Q344" s="2" t="e">
        <f t="shared" si="0"/>
        <v>#REF!</v>
      </c>
    </row>
    <row r="345" spans="1:17" ht="15.75" customHeight="1">
      <c r="A345" s="123" t="e">
        <f t="shared" si="1"/>
        <v>#REF!</v>
      </c>
      <c r="Q345" s="2" t="e">
        <f t="shared" si="0"/>
        <v>#REF!</v>
      </c>
    </row>
    <row r="346" spans="1:17" ht="15.75" customHeight="1">
      <c r="A346" s="123" t="e">
        <f t="shared" si="1"/>
        <v>#REF!</v>
      </c>
      <c r="Q346" s="2" t="e">
        <f t="shared" si="0"/>
        <v>#REF!</v>
      </c>
    </row>
    <row r="347" spans="1:17" ht="15.75" customHeight="1">
      <c r="A347" s="123" t="e">
        <f t="shared" si="1"/>
        <v>#REF!</v>
      </c>
      <c r="Q347" s="2" t="e">
        <f t="shared" si="0"/>
        <v>#REF!</v>
      </c>
    </row>
    <row r="348" spans="1:17" ht="15.75" customHeight="1">
      <c r="A348" s="123" t="e">
        <f t="shared" si="1"/>
        <v>#REF!</v>
      </c>
      <c r="Q348" s="2" t="e">
        <f t="shared" si="0"/>
        <v>#REF!</v>
      </c>
    </row>
    <row r="349" spans="1:17" ht="15.75" customHeight="1">
      <c r="A349" s="123" t="e">
        <f t="shared" si="1"/>
        <v>#REF!</v>
      </c>
      <c r="Q349" s="2" t="e">
        <f t="shared" si="0"/>
        <v>#REF!</v>
      </c>
    </row>
    <row r="350" spans="1:17" ht="15.75" customHeight="1">
      <c r="A350" s="123" t="e">
        <f t="shared" si="1"/>
        <v>#REF!</v>
      </c>
      <c r="Q350" s="2" t="e">
        <f t="shared" si="0"/>
        <v>#REF!</v>
      </c>
    </row>
    <row r="351" spans="1:17" ht="15.75" customHeight="1">
      <c r="A351" s="123" t="e">
        <f t="shared" si="1"/>
        <v>#REF!</v>
      </c>
      <c r="Q351" s="2" t="e">
        <f t="shared" si="0"/>
        <v>#REF!</v>
      </c>
    </row>
    <row r="352" spans="1:17" ht="15.75" customHeight="1">
      <c r="A352" s="123" t="e">
        <f t="shared" si="1"/>
        <v>#REF!</v>
      </c>
      <c r="Q352" s="2" t="e">
        <f t="shared" si="0"/>
        <v>#REF!</v>
      </c>
    </row>
    <row r="353" spans="1:17" ht="15.75" customHeight="1">
      <c r="A353" s="123" t="e">
        <f t="shared" si="1"/>
        <v>#REF!</v>
      </c>
      <c r="Q353" s="2" t="e">
        <f t="shared" si="0"/>
        <v>#REF!</v>
      </c>
    </row>
    <row r="354" spans="1:17" ht="15.75" customHeight="1">
      <c r="A354" s="123" t="e">
        <f t="shared" si="1"/>
        <v>#REF!</v>
      </c>
      <c r="Q354" s="2" t="e">
        <f t="shared" si="0"/>
        <v>#REF!</v>
      </c>
    </row>
    <row r="355" spans="1:17" ht="15.75" customHeight="1">
      <c r="A355" s="123" t="e">
        <f t="shared" si="1"/>
        <v>#REF!</v>
      </c>
      <c r="Q355" s="2" t="e">
        <f t="shared" si="0"/>
        <v>#REF!</v>
      </c>
    </row>
    <row r="356" spans="1:17" ht="15.75" customHeight="1">
      <c r="A356" s="123" t="e">
        <f t="shared" si="1"/>
        <v>#REF!</v>
      </c>
      <c r="Q356" s="2" t="e">
        <f t="shared" si="0"/>
        <v>#REF!</v>
      </c>
    </row>
    <row r="357" spans="1:17" ht="15.75" customHeight="1">
      <c r="A357" s="123" t="e">
        <f t="shared" si="1"/>
        <v>#REF!</v>
      </c>
      <c r="Q357" s="2" t="e">
        <f t="shared" si="0"/>
        <v>#REF!</v>
      </c>
    </row>
    <row r="358" spans="1:17" ht="15.75" customHeight="1">
      <c r="A358" s="123" t="e">
        <f t="shared" si="1"/>
        <v>#REF!</v>
      </c>
      <c r="Q358" s="2" t="e">
        <f t="shared" si="0"/>
        <v>#REF!</v>
      </c>
    </row>
    <row r="359" spans="1:17" ht="15.75" customHeight="1">
      <c r="A359" s="123" t="e">
        <f t="shared" si="1"/>
        <v>#REF!</v>
      </c>
      <c r="Q359" s="2" t="e">
        <f t="shared" si="0"/>
        <v>#REF!</v>
      </c>
    </row>
    <row r="360" spans="1:17" ht="15.75" customHeight="1">
      <c r="A360" s="123" t="e">
        <f t="shared" si="1"/>
        <v>#REF!</v>
      </c>
      <c r="Q360" s="2" t="e">
        <f t="shared" si="0"/>
        <v>#REF!</v>
      </c>
    </row>
    <row r="361" spans="1:17" ht="15.75" customHeight="1">
      <c r="A361" s="123" t="e">
        <f t="shared" si="1"/>
        <v>#REF!</v>
      </c>
      <c r="Q361" s="2" t="e">
        <f t="shared" si="0"/>
        <v>#REF!</v>
      </c>
    </row>
    <row r="362" spans="1:17" ht="15.75" customHeight="1">
      <c r="A362" s="123" t="e">
        <f t="shared" si="1"/>
        <v>#REF!</v>
      </c>
      <c r="Q362" s="2" t="e">
        <f t="shared" si="0"/>
        <v>#REF!</v>
      </c>
    </row>
    <row r="363" spans="1:17" ht="15.75" customHeight="1">
      <c r="A363" s="123" t="e">
        <f t="shared" si="1"/>
        <v>#REF!</v>
      </c>
      <c r="Q363" s="2" t="e">
        <f t="shared" si="0"/>
        <v>#REF!</v>
      </c>
    </row>
    <row r="364" spans="1:17" ht="15.75" customHeight="1">
      <c r="A364" s="123" t="e">
        <f t="shared" si="1"/>
        <v>#REF!</v>
      </c>
      <c r="Q364" s="2" t="e">
        <f t="shared" si="0"/>
        <v>#REF!</v>
      </c>
    </row>
    <row r="365" spans="1:17" ht="15.75" customHeight="1">
      <c r="A365" s="123" t="e">
        <f t="shared" si="1"/>
        <v>#REF!</v>
      </c>
      <c r="Q365" s="2" t="e">
        <f t="shared" si="0"/>
        <v>#REF!</v>
      </c>
    </row>
    <row r="366" spans="1:17" ht="15.75" customHeight="1">
      <c r="A366" s="123" t="e">
        <f t="shared" si="1"/>
        <v>#REF!</v>
      </c>
      <c r="Q366" s="2" t="e">
        <f t="shared" si="0"/>
        <v>#REF!</v>
      </c>
    </row>
    <row r="367" spans="1:17" ht="15.75" customHeight="1">
      <c r="A367" s="123" t="e">
        <f t="shared" si="1"/>
        <v>#REF!</v>
      </c>
      <c r="Q367" s="2" t="e">
        <f t="shared" si="0"/>
        <v>#REF!</v>
      </c>
    </row>
    <row r="368" spans="1:17" ht="15.75" customHeight="1">
      <c r="A368" s="123" t="e">
        <f t="shared" si="1"/>
        <v>#REF!</v>
      </c>
      <c r="Q368" s="2" t="e">
        <f t="shared" si="0"/>
        <v>#REF!</v>
      </c>
    </row>
    <row r="369" spans="1:17" ht="15.75" customHeight="1">
      <c r="A369" s="123" t="e">
        <f t="shared" si="1"/>
        <v>#REF!</v>
      </c>
      <c r="Q369" s="2" t="e">
        <f t="shared" si="0"/>
        <v>#REF!</v>
      </c>
    </row>
    <row r="370" spans="1:17" ht="15.75" customHeight="1">
      <c r="A370" s="123" t="e">
        <f t="shared" si="1"/>
        <v>#REF!</v>
      </c>
      <c r="Q370" s="2" t="e">
        <f t="shared" si="0"/>
        <v>#REF!</v>
      </c>
    </row>
    <row r="371" spans="1:17" ht="15.75" customHeight="1">
      <c r="A371" s="123" t="e">
        <f t="shared" si="1"/>
        <v>#REF!</v>
      </c>
      <c r="Q371" s="2" t="e">
        <f t="shared" si="0"/>
        <v>#REF!</v>
      </c>
    </row>
    <row r="372" spans="1:17" ht="15.75" customHeight="1">
      <c r="A372" s="123" t="e">
        <f t="shared" si="1"/>
        <v>#REF!</v>
      </c>
      <c r="Q372" s="2" t="e">
        <f t="shared" si="0"/>
        <v>#REF!</v>
      </c>
    </row>
    <row r="373" spans="1:17" ht="15.75" customHeight="1">
      <c r="A373" s="123" t="e">
        <f t="shared" si="1"/>
        <v>#REF!</v>
      </c>
      <c r="Q373" s="2" t="e">
        <f t="shared" si="0"/>
        <v>#REF!</v>
      </c>
    </row>
    <row r="374" spans="1:17" ht="15.75" customHeight="1">
      <c r="A374" s="123" t="e">
        <f t="shared" si="1"/>
        <v>#REF!</v>
      </c>
      <c r="Q374" s="2" t="e">
        <f t="shared" si="0"/>
        <v>#REF!</v>
      </c>
    </row>
    <row r="375" spans="1:17" ht="15.75" customHeight="1">
      <c r="A375" s="123" t="e">
        <f t="shared" si="1"/>
        <v>#REF!</v>
      </c>
      <c r="Q375" s="2" t="e">
        <f t="shared" si="0"/>
        <v>#REF!</v>
      </c>
    </row>
    <row r="376" spans="1:17" ht="15.75" customHeight="1">
      <c r="A376" s="123" t="e">
        <f t="shared" si="1"/>
        <v>#REF!</v>
      </c>
      <c r="Q376" s="2" t="e">
        <f t="shared" si="0"/>
        <v>#REF!</v>
      </c>
    </row>
    <row r="377" spans="1:17" ht="15.75" customHeight="1">
      <c r="A377" s="123" t="e">
        <f t="shared" si="1"/>
        <v>#REF!</v>
      </c>
      <c r="Q377" s="2" t="e">
        <f t="shared" si="0"/>
        <v>#REF!</v>
      </c>
    </row>
    <row r="378" spans="1:17" ht="15.75" customHeight="1">
      <c r="A378" s="123" t="e">
        <f t="shared" si="1"/>
        <v>#REF!</v>
      </c>
      <c r="Q378" s="2" t="e">
        <f t="shared" si="0"/>
        <v>#REF!</v>
      </c>
    </row>
    <row r="379" spans="1:17" ht="15.75" customHeight="1">
      <c r="A379" s="123" t="e">
        <f t="shared" si="1"/>
        <v>#REF!</v>
      </c>
      <c r="Q379" s="2" t="e">
        <f t="shared" si="0"/>
        <v>#REF!</v>
      </c>
    </row>
    <row r="380" spans="1:17" ht="15.75" customHeight="1">
      <c r="A380" s="123" t="e">
        <f t="shared" si="1"/>
        <v>#REF!</v>
      </c>
      <c r="Q380" s="2" t="e">
        <f t="shared" si="0"/>
        <v>#REF!</v>
      </c>
    </row>
    <row r="381" spans="1:17" ht="15.75" customHeight="1">
      <c r="A381" s="123" t="e">
        <f t="shared" si="1"/>
        <v>#REF!</v>
      </c>
      <c r="Q381" s="2" t="e">
        <f t="shared" si="0"/>
        <v>#REF!</v>
      </c>
    </row>
    <row r="382" spans="1:17" ht="15.75" customHeight="1">
      <c r="A382" s="123" t="e">
        <f t="shared" si="1"/>
        <v>#REF!</v>
      </c>
      <c r="Q382" s="2" t="e">
        <f t="shared" si="0"/>
        <v>#REF!</v>
      </c>
    </row>
    <row r="383" spans="1:17" ht="15.75" customHeight="1">
      <c r="A383" s="123" t="e">
        <f t="shared" si="1"/>
        <v>#REF!</v>
      </c>
      <c r="Q383" s="2" t="e">
        <f t="shared" si="0"/>
        <v>#REF!</v>
      </c>
    </row>
    <row r="384" spans="1:17" ht="15.75" customHeight="1">
      <c r="A384" s="123" t="e">
        <f t="shared" si="1"/>
        <v>#REF!</v>
      </c>
      <c r="Q384" s="2" t="e">
        <f t="shared" si="0"/>
        <v>#REF!</v>
      </c>
    </row>
    <row r="385" spans="1:17" ht="15.75" customHeight="1">
      <c r="A385" s="123" t="e">
        <f t="shared" si="1"/>
        <v>#REF!</v>
      </c>
      <c r="Q385" s="2" t="e">
        <f t="shared" si="0"/>
        <v>#REF!</v>
      </c>
    </row>
    <row r="386" spans="1:17" ht="15.75" customHeight="1">
      <c r="A386" s="123" t="e">
        <f t="shared" si="1"/>
        <v>#REF!</v>
      </c>
      <c r="Q386" s="2" t="e">
        <f t="shared" si="0"/>
        <v>#REF!</v>
      </c>
    </row>
    <row r="387" spans="1:17" ht="15.75" customHeight="1">
      <c r="A387" s="123" t="e">
        <f t="shared" si="1"/>
        <v>#REF!</v>
      </c>
      <c r="Q387" s="2" t="e">
        <f t="shared" si="0"/>
        <v>#REF!</v>
      </c>
    </row>
    <row r="388" spans="1:17" ht="15.75" customHeight="1">
      <c r="A388" s="123" t="e">
        <f t="shared" si="1"/>
        <v>#REF!</v>
      </c>
      <c r="Q388" s="2" t="e">
        <f t="shared" si="0"/>
        <v>#REF!</v>
      </c>
    </row>
    <row r="389" spans="1:17" ht="15.75" customHeight="1">
      <c r="A389" s="123" t="e">
        <f t="shared" si="1"/>
        <v>#REF!</v>
      </c>
      <c r="Q389" s="2" t="e">
        <f t="shared" si="0"/>
        <v>#REF!</v>
      </c>
    </row>
    <row r="390" spans="1:17" ht="15.75" customHeight="1">
      <c r="A390" s="123" t="e">
        <f t="shared" si="1"/>
        <v>#REF!</v>
      </c>
      <c r="Q390" s="2" t="e">
        <f t="shared" si="0"/>
        <v>#REF!</v>
      </c>
    </row>
    <row r="391" spans="1:17" ht="15.75" customHeight="1">
      <c r="A391" s="123" t="e">
        <f t="shared" si="1"/>
        <v>#REF!</v>
      </c>
      <c r="Q391" s="2" t="e">
        <f t="shared" si="0"/>
        <v>#REF!</v>
      </c>
    </row>
    <row r="392" spans="1:17" ht="15.75" customHeight="1">
      <c r="A392" s="123" t="e">
        <f t="shared" si="1"/>
        <v>#REF!</v>
      </c>
      <c r="Q392" s="2" t="e">
        <f t="shared" si="0"/>
        <v>#REF!</v>
      </c>
    </row>
    <row r="393" spans="1:17" ht="15.75" customHeight="1">
      <c r="A393" s="123" t="e">
        <f t="shared" si="1"/>
        <v>#REF!</v>
      </c>
      <c r="Q393" s="2" t="e">
        <f t="shared" si="0"/>
        <v>#REF!</v>
      </c>
    </row>
    <row r="394" spans="1:17" ht="15.75" customHeight="1">
      <c r="A394" s="123" t="e">
        <f t="shared" si="1"/>
        <v>#REF!</v>
      </c>
      <c r="Q394" s="2" t="e">
        <f t="shared" si="0"/>
        <v>#REF!</v>
      </c>
    </row>
    <row r="395" spans="1:17" ht="15.75" customHeight="1">
      <c r="A395" s="123" t="e">
        <f t="shared" si="1"/>
        <v>#REF!</v>
      </c>
      <c r="Q395" s="2" t="e">
        <f t="shared" si="0"/>
        <v>#REF!</v>
      </c>
    </row>
    <row r="396" spans="1:17" ht="15.75" customHeight="1">
      <c r="A396" s="123" t="e">
        <f t="shared" si="1"/>
        <v>#REF!</v>
      </c>
      <c r="Q396" s="2" t="e">
        <f t="shared" si="0"/>
        <v>#REF!</v>
      </c>
    </row>
    <row r="397" spans="1:17" ht="15.75" customHeight="1">
      <c r="A397" s="123" t="e">
        <f t="shared" si="1"/>
        <v>#REF!</v>
      </c>
      <c r="Q397" s="2" t="e">
        <f t="shared" si="0"/>
        <v>#REF!</v>
      </c>
    </row>
    <row r="398" spans="1:17" ht="15.75" customHeight="1">
      <c r="A398" s="123" t="e">
        <f t="shared" si="1"/>
        <v>#REF!</v>
      </c>
      <c r="Q398" s="2" t="e">
        <f t="shared" si="0"/>
        <v>#REF!</v>
      </c>
    </row>
    <row r="399" spans="1:17" ht="15.75" customHeight="1">
      <c r="A399" s="123" t="e">
        <f t="shared" si="1"/>
        <v>#REF!</v>
      </c>
      <c r="Q399" s="2" t="e">
        <f t="shared" si="0"/>
        <v>#REF!</v>
      </c>
    </row>
    <row r="400" spans="1:17" ht="15.75" customHeight="1">
      <c r="A400" s="123" t="e">
        <f t="shared" si="1"/>
        <v>#REF!</v>
      </c>
      <c r="Q400" s="2" t="e">
        <f t="shared" si="0"/>
        <v>#REF!</v>
      </c>
    </row>
    <row r="401" spans="1:17" ht="15.75" customHeight="1">
      <c r="A401" s="123" t="e">
        <f t="shared" si="1"/>
        <v>#REF!</v>
      </c>
      <c r="Q401" s="2" t="e">
        <f t="shared" si="0"/>
        <v>#REF!</v>
      </c>
    </row>
    <row r="402" spans="1:17" ht="15.75" customHeight="1">
      <c r="A402" s="123" t="e">
        <f t="shared" si="1"/>
        <v>#REF!</v>
      </c>
      <c r="Q402" s="2" t="e">
        <f t="shared" si="0"/>
        <v>#REF!</v>
      </c>
    </row>
    <row r="403" spans="1:17" ht="15.75" customHeight="1">
      <c r="A403" s="123" t="e">
        <f t="shared" si="1"/>
        <v>#REF!</v>
      </c>
      <c r="Q403" s="2" t="e">
        <f t="shared" si="0"/>
        <v>#REF!</v>
      </c>
    </row>
    <row r="404" spans="1:17" ht="15.75" customHeight="1">
      <c r="A404" s="123" t="e">
        <f t="shared" si="1"/>
        <v>#REF!</v>
      </c>
      <c r="Q404" s="2" t="e">
        <f t="shared" si="0"/>
        <v>#REF!</v>
      </c>
    </row>
    <row r="405" spans="1:17" ht="15.75" customHeight="1">
      <c r="A405" s="123" t="e">
        <f t="shared" si="1"/>
        <v>#REF!</v>
      </c>
      <c r="Q405" s="2" t="e">
        <f t="shared" si="0"/>
        <v>#REF!</v>
      </c>
    </row>
    <row r="406" spans="1:17" ht="15.75" customHeight="1">
      <c r="A406" s="123" t="e">
        <f t="shared" si="1"/>
        <v>#REF!</v>
      </c>
      <c r="Q406" s="2" t="e">
        <f t="shared" si="0"/>
        <v>#REF!</v>
      </c>
    </row>
    <row r="407" spans="1:17" ht="15.75" customHeight="1">
      <c r="A407" s="123" t="e">
        <f t="shared" si="1"/>
        <v>#REF!</v>
      </c>
      <c r="Q407" s="2" t="e">
        <f t="shared" si="0"/>
        <v>#REF!</v>
      </c>
    </row>
    <row r="408" spans="1:17" ht="15.75" customHeight="1">
      <c r="A408" s="123" t="e">
        <f t="shared" si="1"/>
        <v>#REF!</v>
      </c>
      <c r="Q408" s="2" t="e">
        <f t="shared" si="0"/>
        <v>#REF!</v>
      </c>
    </row>
    <row r="409" spans="1:17" ht="15.75" customHeight="1">
      <c r="A409" s="123" t="e">
        <f t="shared" si="1"/>
        <v>#REF!</v>
      </c>
      <c r="Q409" s="2" t="e">
        <f t="shared" si="0"/>
        <v>#REF!</v>
      </c>
    </row>
    <row r="410" spans="1:17" ht="15.75" customHeight="1">
      <c r="A410" s="123" t="e">
        <f t="shared" si="1"/>
        <v>#REF!</v>
      </c>
      <c r="Q410" s="2" t="e">
        <f t="shared" si="0"/>
        <v>#REF!</v>
      </c>
    </row>
    <row r="411" spans="1:17" ht="15.75" customHeight="1">
      <c r="A411" s="123" t="e">
        <f t="shared" si="1"/>
        <v>#REF!</v>
      </c>
      <c r="Q411" s="2" t="e">
        <f t="shared" si="0"/>
        <v>#REF!</v>
      </c>
    </row>
    <row r="412" spans="1:17" ht="15.75" customHeight="1">
      <c r="A412" s="123" t="e">
        <f t="shared" si="1"/>
        <v>#REF!</v>
      </c>
      <c r="Q412" s="2" t="e">
        <f t="shared" si="0"/>
        <v>#REF!</v>
      </c>
    </row>
    <row r="413" spans="1:17" ht="15.75" customHeight="1">
      <c r="A413" s="123" t="e">
        <f t="shared" si="1"/>
        <v>#REF!</v>
      </c>
      <c r="Q413" s="2" t="e">
        <f t="shared" si="0"/>
        <v>#REF!</v>
      </c>
    </row>
    <row r="414" spans="1:17" ht="15.75" customHeight="1">
      <c r="A414" s="123" t="e">
        <f t="shared" si="1"/>
        <v>#REF!</v>
      </c>
      <c r="Q414" s="2" t="e">
        <f t="shared" si="0"/>
        <v>#REF!</v>
      </c>
    </row>
    <row r="415" spans="1:17" ht="15.75" customHeight="1">
      <c r="A415" s="123" t="e">
        <f t="shared" si="1"/>
        <v>#REF!</v>
      </c>
      <c r="Q415" s="2" t="e">
        <f t="shared" si="0"/>
        <v>#REF!</v>
      </c>
    </row>
    <row r="416" spans="1:17" ht="15.75" customHeight="1">
      <c r="A416" s="123" t="e">
        <f t="shared" si="1"/>
        <v>#REF!</v>
      </c>
      <c r="Q416" s="2" t="e">
        <f t="shared" si="0"/>
        <v>#REF!</v>
      </c>
    </row>
    <row r="417" spans="1:17" ht="15.75" customHeight="1">
      <c r="A417" s="123" t="e">
        <f t="shared" si="1"/>
        <v>#REF!</v>
      </c>
      <c r="Q417" s="2" t="e">
        <f t="shared" si="0"/>
        <v>#REF!</v>
      </c>
    </row>
    <row r="418" spans="1:17" ht="15.75" customHeight="1">
      <c r="A418" s="123" t="e">
        <f t="shared" si="1"/>
        <v>#REF!</v>
      </c>
      <c r="Q418" s="2" t="e">
        <f t="shared" si="0"/>
        <v>#REF!</v>
      </c>
    </row>
    <row r="419" spans="1:17" ht="15.75" customHeight="1">
      <c r="A419" s="123" t="e">
        <f t="shared" si="1"/>
        <v>#REF!</v>
      </c>
      <c r="Q419" s="2" t="e">
        <f t="shared" si="0"/>
        <v>#REF!</v>
      </c>
    </row>
    <row r="420" spans="1:17" ht="15.75" customHeight="1">
      <c r="A420" s="123" t="e">
        <f t="shared" si="1"/>
        <v>#REF!</v>
      </c>
      <c r="Q420" s="2" t="e">
        <f t="shared" si="0"/>
        <v>#REF!</v>
      </c>
    </row>
    <row r="421" spans="1:17" ht="15.75" customHeight="1">
      <c r="A421" s="123" t="e">
        <f t="shared" si="1"/>
        <v>#REF!</v>
      </c>
      <c r="Q421" s="2" t="e">
        <f t="shared" si="0"/>
        <v>#REF!</v>
      </c>
    </row>
    <row r="422" spans="1:17" ht="15.75" customHeight="1">
      <c r="A422" s="123" t="e">
        <f t="shared" si="1"/>
        <v>#REF!</v>
      </c>
      <c r="Q422" s="2" t="e">
        <f t="shared" si="0"/>
        <v>#REF!</v>
      </c>
    </row>
    <row r="423" spans="1:17" ht="15.75" customHeight="1">
      <c r="A423" s="123" t="e">
        <f t="shared" si="1"/>
        <v>#REF!</v>
      </c>
      <c r="Q423" s="2" t="e">
        <f t="shared" si="0"/>
        <v>#REF!</v>
      </c>
    </row>
    <row r="424" spans="1:17" ht="15.75" customHeight="1">
      <c r="A424" s="123" t="e">
        <f t="shared" si="1"/>
        <v>#REF!</v>
      </c>
      <c r="Q424" s="2" t="e">
        <f t="shared" si="0"/>
        <v>#REF!</v>
      </c>
    </row>
    <row r="425" spans="1:17" ht="15.75" customHeight="1">
      <c r="A425" s="123" t="e">
        <f t="shared" si="1"/>
        <v>#REF!</v>
      </c>
      <c r="Q425" s="2" t="e">
        <f t="shared" si="0"/>
        <v>#REF!</v>
      </c>
    </row>
    <row r="426" spans="1:17" ht="15.75" customHeight="1">
      <c r="A426" s="123" t="e">
        <f t="shared" si="1"/>
        <v>#REF!</v>
      </c>
      <c r="Q426" s="2" t="e">
        <f t="shared" si="0"/>
        <v>#REF!</v>
      </c>
    </row>
    <row r="427" spans="1:17" ht="15.75" customHeight="1">
      <c r="A427" s="123" t="e">
        <f t="shared" si="1"/>
        <v>#REF!</v>
      </c>
      <c r="Q427" s="2" t="e">
        <f t="shared" si="0"/>
        <v>#REF!</v>
      </c>
    </row>
    <row r="428" spans="1:17" ht="15.75" customHeight="1">
      <c r="A428" s="123" t="e">
        <f t="shared" si="1"/>
        <v>#REF!</v>
      </c>
      <c r="Q428" s="2" t="e">
        <f t="shared" si="0"/>
        <v>#REF!</v>
      </c>
    </row>
    <row r="429" spans="1:17" ht="15.75" customHeight="1">
      <c r="A429" s="123" t="e">
        <f t="shared" si="1"/>
        <v>#REF!</v>
      </c>
      <c r="Q429" s="2" t="e">
        <f t="shared" si="0"/>
        <v>#REF!</v>
      </c>
    </row>
    <row r="430" spans="1:17" ht="15.75" customHeight="1">
      <c r="A430" s="123" t="e">
        <f t="shared" si="1"/>
        <v>#REF!</v>
      </c>
      <c r="Q430" s="2" t="e">
        <f t="shared" si="0"/>
        <v>#REF!</v>
      </c>
    </row>
    <row r="431" spans="1:17" ht="15.75" customHeight="1">
      <c r="A431" s="123" t="e">
        <f t="shared" si="1"/>
        <v>#REF!</v>
      </c>
      <c r="Q431" s="2" t="e">
        <f t="shared" si="0"/>
        <v>#REF!</v>
      </c>
    </row>
    <row r="432" spans="1:17" ht="15.75" customHeight="1">
      <c r="A432" s="123" t="e">
        <f t="shared" si="1"/>
        <v>#REF!</v>
      </c>
      <c r="Q432" s="2" t="e">
        <f t="shared" si="0"/>
        <v>#REF!</v>
      </c>
    </row>
    <row r="433" spans="1:17" ht="15.75" customHeight="1">
      <c r="A433" s="123" t="e">
        <f t="shared" si="1"/>
        <v>#REF!</v>
      </c>
      <c r="Q433" s="2" t="e">
        <f t="shared" si="0"/>
        <v>#REF!</v>
      </c>
    </row>
    <row r="434" spans="1:17" ht="15.75" customHeight="1">
      <c r="A434" s="123" t="e">
        <f t="shared" si="1"/>
        <v>#REF!</v>
      </c>
      <c r="Q434" s="2" t="e">
        <f t="shared" si="0"/>
        <v>#REF!</v>
      </c>
    </row>
    <row r="435" spans="1:17" ht="15.75" customHeight="1">
      <c r="A435" s="123" t="e">
        <f t="shared" si="1"/>
        <v>#REF!</v>
      </c>
      <c r="Q435" s="2" t="e">
        <f t="shared" si="0"/>
        <v>#REF!</v>
      </c>
    </row>
    <row r="436" spans="1:17" ht="15.75" customHeight="1">
      <c r="A436" s="123" t="e">
        <f t="shared" si="1"/>
        <v>#REF!</v>
      </c>
      <c r="Q436" s="2" t="e">
        <f t="shared" si="0"/>
        <v>#REF!</v>
      </c>
    </row>
    <row r="437" spans="1:17" ht="15.75" customHeight="1">
      <c r="A437" s="123" t="e">
        <f t="shared" si="1"/>
        <v>#REF!</v>
      </c>
      <c r="Q437" s="2" t="e">
        <f t="shared" si="0"/>
        <v>#REF!</v>
      </c>
    </row>
    <row r="438" spans="1:17" ht="15.75" customHeight="1">
      <c r="A438" s="123" t="e">
        <f t="shared" si="1"/>
        <v>#REF!</v>
      </c>
      <c r="Q438" s="2" t="e">
        <f t="shared" si="0"/>
        <v>#REF!</v>
      </c>
    </row>
    <row r="439" spans="1:17" ht="15.75" customHeight="1">
      <c r="A439" s="123" t="e">
        <f t="shared" si="1"/>
        <v>#REF!</v>
      </c>
      <c r="Q439" s="2" t="e">
        <f t="shared" si="0"/>
        <v>#REF!</v>
      </c>
    </row>
    <row r="440" spans="1:17" ht="15.75" customHeight="1">
      <c r="A440" s="123" t="e">
        <f t="shared" si="1"/>
        <v>#REF!</v>
      </c>
      <c r="Q440" s="2" t="e">
        <f t="shared" si="0"/>
        <v>#REF!</v>
      </c>
    </row>
    <row r="441" spans="1:17" ht="15.75" customHeight="1">
      <c r="A441" s="123" t="e">
        <f t="shared" si="1"/>
        <v>#REF!</v>
      </c>
      <c r="Q441" s="2" t="e">
        <f t="shared" si="0"/>
        <v>#REF!</v>
      </c>
    </row>
    <row r="442" spans="1:17" ht="15.75" customHeight="1">
      <c r="A442" s="123" t="e">
        <f t="shared" si="1"/>
        <v>#REF!</v>
      </c>
      <c r="Q442" s="2" t="e">
        <f t="shared" si="0"/>
        <v>#REF!</v>
      </c>
    </row>
    <row r="443" spans="1:17" ht="15.75" customHeight="1">
      <c r="A443" s="123" t="e">
        <f t="shared" si="1"/>
        <v>#REF!</v>
      </c>
      <c r="Q443" s="2" t="e">
        <f t="shared" si="0"/>
        <v>#REF!</v>
      </c>
    </row>
    <row r="444" spans="1:17" ht="15.75" customHeight="1">
      <c r="A444" s="123" t="e">
        <f t="shared" si="1"/>
        <v>#REF!</v>
      </c>
      <c r="Q444" s="2" t="e">
        <f t="shared" si="0"/>
        <v>#REF!</v>
      </c>
    </row>
    <row r="445" spans="1:17" ht="15.75" customHeight="1">
      <c r="A445" s="123" t="e">
        <f t="shared" si="1"/>
        <v>#REF!</v>
      </c>
      <c r="Q445" s="2" t="e">
        <f t="shared" si="0"/>
        <v>#REF!</v>
      </c>
    </row>
    <row r="446" spans="1:17" ht="15.75" customHeight="1">
      <c r="A446" s="123" t="e">
        <f t="shared" si="1"/>
        <v>#REF!</v>
      </c>
      <c r="Q446" s="2" t="e">
        <f t="shared" si="0"/>
        <v>#REF!</v>
      </c>
    </row>
    <row r="447" spans="1:17" ht="15.75" customHeight="1">
      <c r="A447" s="123" t="e">
        <f t="shared" si="1"/>
        <v>#REF!</v>
      </c>
      <c r="Q447" s="2" t="e">
        <f t="shared" si="0"/>
        <v>#REF!</v>
      </c>
    </row>
    <row r="448" spans="1:17" ht="15.75" customHeight="1">
      <c r="A448" s="123" t="e">
        <f t="shared" si="1"/>
        <v>#REF!</v>
      </c>
      <c r="Q448" s="2" t="e">
        <f t="shared" si="0"/>
        <v>#REF!</v>
      </c>
    </row>
    <row r="449" spans="1:17" ht="15.75" customHeight="1">
      <c r="A449" s="123" t="e">
        <f t="shared" si="1"/>
        <v>#REF!</v>
      </c>
      <c r="Q449" s="2" t="e">
        <f t="shared" si="0"/>
        <v>#REF!</v>
      </c>
    </row>
    <row r="450" spans="1:17" ht="15.75" customHeight="1">
      <c r="A450" s="123" t="e">
        <f t="shared" si="1"/>
        <v>#REF!</v>
      </c>
      <c r="Q450" s="2" t="e">
        <f t="shared" si="0"/>
        <v>#REF!</v>
      </c>
    </row>
    <row r="451" spans="1:17" ht="15.75" customHeight="1">
      <c r="A451" s="123" t="e">
        <f t="shared" si="1"/>
        <v>#REF!</v>
      </c>
      <c r="Q451" s="2" t="e">
        <f t="shared" si="0"/>
        <v>#REF!</v>
      </c>
    </row>
    <row r="452" spans="1:17" ht="15.75" customHeight="1">
      <c r="A452" s="123" t="e">
        <f t="shared" si="1"/>
        <v>#REF!</v>
      </c>
      <c r="Q452" s="2" t="e">
        <f t="shared" si="0"/>
        <v>#REF!</v>
      </c>
    </row>
    <row r="453" spans="1:17" ht="15.75" customHeight="1">
      <c r="A453" s="123" t="e">
        <f t="shared" si="1"/>
        <v>#REF!</v>
      </c>
      <c r="Q453" s="2" t="e">
        <f t="shared" si="0"/>
        <v>#REF!</v>
      </c>
    </row>
    <row r="454" spans="1:17" ht="15.75" customHeight="1">
      <c r="A454" s="123" t="e">
        <f t="shared" si="1"/>
        <v>#REF!</v>
      </c>
      <c r="Q454" s="2" t="e">
        <f t="shared" si="0"/>
        <v>#REF!</v>
      </c>
    </row>
    <row r="455" spans="1:17" ht="15.75" customHeight="1">
      <c r="A455" s="123" t="e">
        <f t="shared" si="1"/>
        <v>#REF!</v>
      </c>
      <c r="Q455" s="2" t="e">
        <f t="shared" si="0"/>
        <v>#REF!</v>
      </c>
    </row>
    <row r="456" spans="1:17" ht="15.75" customHeight="1">
      <c r="A456" s="123" t="e">
        <f t="shared" si="1"/>
        <v>#REF!</v>
      </c>
      <c r="Q456" s="2" t="e">
        <f t="shared" si="0"/>
        <v>#REF!</v>
      </c>
    </row>
    <row r="457" spans="1:17" ht="15.75" customHeight="1">
      <c r="A457" s="123" t="e">
        <f t="shared" si="1"/>
        <v>#REF!</v>
      </c>
      <c r="Q457" s="2" t="e">
        <f t="shared" si="0"/>
        <v>#REF!</v>
      </c>
    </row>
    <row r="458" spans="1:17" ht="15.75" customHeight="1">
      <c r="Q458" s="2" t="e">
        <f t="shared" si="0"/>
        <v>#REF!</v>
      </c>
    </row>
    <row r="459" spans="1:17" ht="15.75" customHeight="1">
      <c r="Q459" s="2" t="e">
        <f t="shared" si="0"/>
        <v>#REF!</v>
      </c>
    </row>
    <row r="460" spans="1:17" ht="15.75" customHeight="1">
      <c r="Q460" s="2" t="e">
        <f t="shared" si="0"/>
        <v>#REF!</v>
      </c>
    </row>
    <row r="461" spans="1:17" ht="15.75" customHeight="1">
      <c r="Q461" s="2" t="e">
        <f t="shared" si="0"/>
        <v>#REF!</v>
      </c>
    </row>
    <row r="462" spans="1:17" ht="15.75" customHeight="1">
      <c r="Q462" s="2" t="e">
        <f t="shared" si="0"/>
        <v>#REF!</v>
      </c>
    </row>
    <row r="463" spans="1:17" ht="15.75" customHeight="1">
      <c r="Q463" s="2" t="e">
        <f t="shared" si="0"/>
        <v>#REF!</v>
      </c>
    </row>
    <row r="464" spans="1:17" ht="15.75" customHeight="1">
      <c r="Q464" s="2" t="e">
        <f t="shared" si="0"/>
        <v>#REF!</v>
      </c>
    </row>
    <row r="465" spans="17:17" ht="15.75" customHeight="1">
      <c r="Q465" s="2" t="e">
        <f t="shared" si="0"/>
        <v>#REF!</v>
      </c>
    </row>
    <row r="466" spans="17:17" ht="15.75" customHeight="1">
      <c r="Q466" s="2" t="e">
        <f t="shared" si="0"/>
        <v>#REF!</v>
      </c>
    </row>
    <row r="467" spans="17:17" ht="15.75" customHeight="1">
      <c r="Q467" s="2" t="e">
        <f t="shared" si="0"/>
        <v>#REF!</v>
      </c>
    </row>
    <row r="468" spans="17:17" ht="15.75" customHeight="1">
      <c r="Q468" s="2" t="e">
        <f t="shared" si="0"/>
        <v>#REF!</v>
      </c>
    </row>
    <row r="469" spans="17:17" ht="15.75" customHeight="1">
      <c r="Q469" s="2" t="e">
        <f t="shared" si="0"/>
        <v>#REF!</v>
      </c>
    </row>
    <row r="470" spans="17:17" ht="15.75" customHeight="1">
      <c r="Q470" s="2" t="e">
        <f t="shared" si="0"/>
        <v>#REF!</v>
      </c>
    </row>
    <row r="471" spans="17:17" ht="15.75" customHeight="1">
      <c r="Q471" s="2" t="e">
        <f t="shared" si="0"/>
        <v>#REF!</v>
      </c>
    </row>
    <row r="472" spans="17:17" ht="15.75" customHeight="1">
      <c r="Q472" s="2" t="e">
        <f t="shared" si="0"/>
        <v>#REF!</v>
      </c>
    </row>
    <row r="473" spans="17:17" ht="15.75" customHeight="1">
      <c r="Q473" s="2" t="e">
        <f t="shared" si="0"/>
        <v>#REF!</v>
      </c>
    </row>
    <row r="474" spans="17:17" ht="15.75" customHeight="1">
      <c r="Q474" s="2" t="e">
        <f t="shared" si="0"/>
        <v>#REF!</v>
      </c>
    </row>
    <row r="475" spans="17:17" ht="15.75" customHeight="1">
      <c r="Q475" s="2" t="e">
        <f t="shared" si="0"/>
        <v>#REF!</v>
      </c>
    </row>
    <row r="476" spans="17:17" ht="15.75" customHeight="1">
      <c r="Q476" s="2" t="e">
        <f t="shared" si="0"/>
        <v>#REF!</v>
      </c>
    </row>
    <row r="477" spans="17:17" ht="15.75" customHeight="1">
      <c r="Q477" s="2" t="e">
        <f t="shared" si="0"/>
        <v>#REF!</v>
      </c>
    </row>
    <row r="478" spans="17:17" ht="15.75" customHeight="1">
      <c r="Q478" s="2" t="e">
        <f t="shared" si="0"/>
        <v>#REF!</v>
      </c>
    </row>
    <row r="479" spans="17:17" ht="15.75" customHeight="1">
      <c r="Q479" s="2" t="e">
        <f t="shared" si="0"/>
        <v>#REF!</v>
      </c>
    </row>
    <row r="480" spans="17:17" ht="15.75" customHeight="1">
      <c r="Q480" s="2" t="e">
        <f t="shared" si="0"/>
        <v>#REF!</v>
      </c>
    </row>
    <row r="481" spans="17:17" ht="15.75" customHeight="1">
      <c r="Q481" s="2" t="e">
        <f t="shared" si="0"/>
        <v>#REF!</v>
      </c>
    </row>
    <row r="482" spans="17:17" ht="15.75" customHeight="1">
      <c r="Q482" s="2" t="e">
        <f t="shared" si="0"/>
        <v>#REF!</v>
      </c>
    </row>
    <row r="483" spans="17:17" ht="15.75" customHeight="1">
      <c r="Q483" s="2" t="e">
        <f t="shared" si="0"/>
        <v>#REF!</v>
      </c>
    </row>
    <row r="484" spans="17:17" ht="15.75" customHeight="1">
      <c r="Q484" s="2" t="e">
        <f t="shared" si="0"/>
        <v>#REF!</v>
      </c>
    </row>
    <row r="485" spans="17:17" ht="15.75" customHeight="1">
      <c r="Q485" s="2" t="e">
        <f t="shared" si="0"/>
        <v>#REF!</v>
      </c>
    </row>
    <row r="486" spans="17:17" ht="15.75" customHeight="1">
      <c r="Q486" s="2" t="e">
        <f t="shared" si="0"/>
        <v>#REF!</v>
      </c>
    </row>
    <row r="487" spans="17:17" ht="15.75" customHeight="1">
      <c r="Q487" s="2" t="e">
        <f t="shared" si="0"/>
        <v>#REF!</v>
      </c>
    </row>
    <row r="488" spans="17:17" ht="15.75" customHeight="1">
      <c r="Q488" s="2" t="e">
        <f t="shared" si="0"/>
        <v>#REF!</v>
      </c>
    </row>
    <row r="489" spans="17:17" ht="15.75" customHeight="1">
      <c r="Q489" s="2" t="e">
        <f t="shared" si="0"/>
        <v>#REF!</v>
      </c>
    </row>
    <row r="490" spans="17:17" ht="15.75" customHeight="1">
      <c r="Q490" s="2" t="e">
        <f t="shared" si="0"/>
        <v>#REF!</v>
      </c>
    </row>
    <row r="491" spans="17:17" ht="15.75" customHeight="1">
      <c r="Q491" s="2" t="e">
        <f t="shared" si="0"/>
        <v>#REF!</v>
      </c>
    </row>
    <row r="492" spans="17:17" ht="15.75" customHeight="1">
      <c r="Q492" s="2" t="e">
        <f t="shared" si="0"/>
        <v>#REF!</v>
      </c>
    </row>
    <row r="493" spans="17:17" ht="15.75" customHeight="1">
      <c r="Q493" s="2" t="e">
        <f t="shared" si="0"/>
        <v>#REF!</v>
      </c>
    </row>
    <row r="494" spans="17:17" ht="15.75" customHeight="1">
      <c r="Q494" s="2" t="e">
        <f t="shared" si="0"/>
        <v>#REF!</v>
      </c>
    </row>
    <row r="495" spans="17:17" ht="15.75" customHeight="1">
      <c r="Q495" s="2" t="e">
        <f t="shared" si="0"/>
        <v>#REF!</v>
      </c>
    </row>
    <row r="496" spans="17:17" ht="15.75" customHeight="1">
      <c r="Q496" s="2" t="e">
        <f t="shared" si="0"/>
        <v>#REF!</v>
      </c>
    </row>
    <row r="497" spans="17:17" ht="15.75" customHeight="1">
      <c r="Q497" s="2" t="e">
        <f t="shared" si="0"/>
        <v>#REF!</v>
      </c>
    </row>
    <row r="498" spans="17:17" ht="15.75" customHeight="1">
      <c r="Q498" s="2" t="e">
        <f t="shared" si="0"/>
        <v>#REF!</v>
      </c>
    </row>
    <row r="499" spans="17:17" ht="15.75" customHeight="1">
      <c r="Q499" s="2" t="e">
        <f t="shared" si="0"/>
        <v>#REF!</v>
      </c>
    </row>
    <row r="500" spans="17:17" ht="15.75" customHeight="1">
      <c r="Q500" s="2" t="e">
        <f t="shared" si="0"/>
        <v>#REF!</v>
      </c>
    </row>
    <row r="501" spans="17:17" ht="15.75" customHeight="1">
      <c r="Q501" s="2" t="e">
        <f t="shared" si="0"/>
        <v>#REF!</v>
      </c>
    </row>
    <row r="502" spans="17:17" ht="15.75" customHeight="1">
      <c r="Q502" s="2" t="e">
        <f t="shared" si="0"/>
        <v>#REF!</v>
      </c>
    </row>
    <row r="503" spans="17:17" ht="15.75" customHeight="1">
      <c r="Q503" s="2" t="e">
        <f t="shared" si="0"/>
        <v>#REF!</v>
      </c>
    </row>
    <row r="504" spans="17:17" ht="15.75" customHeight="1">
      <c r="Q504" s="2" t="e">
        <f t="shared" si="0"/>
        <v>#REF!</v>
      </c>
    </row>
    <row r="505" spans="17:17" ht="15.75" customHeight="1">
      <c r="Q505" s="2" t="e">
        <f t="shared" si="0"/>
        <v>#REF!</v>
      </c>
    </row>
    <row r="506" spans="17:17" ht="15.75" customHeight="1">
      <c r="Q506" s="2" t="e">
        <f t="shared" si="0"/>
        <v>#REF!</v>
      </c>
    </row>
    <row r="507" spans="17:17" ht="15.75" customHeight="1">
      <c r="Q507" s="2" t="e">
        <f t="shared" si="0"/>
        <v>#REF!</v>
      </c>
    </row>
    <row r="508" spans="17:17" ht="15.75" customHeight="1">
      <c r="Q508" s="2" t="e">
        <f t="shared" si="0"/>
        <v>#REF!</v>
      </c>
    </row>
    <row r="509" spans="17:17" ht="15.75" customHeight="1">
      <c r="Q509" s="2" t="e">
        <f t="shared" si="0"/>
        <v>#REF!</v>
      </c>
    </row>
    <row r="510" spans="17:17" ht="15.75" customHeight="1">
      <c r="Q510" s="2" t="e">
        <f t="shared" si="0"/>
        <v>#REF!</v>
      </c>
    </row>
    <row r="511" spans="17:17" ht="15.75" customHeight="1">
      <c r="Q511" s="2" t="e">
        <f t="shared" si="0"/>
        <v>#REF!</v>
      </c>
    </row>
    <row r="512" spans="17:17" ht="15.75" customHeight="1">
      <c r="Q512" s="2" t="e">
        <f t="shared" si="0"/>
        <v>#REF!</v>
      </c>
    </row>
    <row r="513" spans="17:17" ht="15.75" customHeight="1">
      <c r="Q513" s="2" t="e">
        <f t="shared" si="0"/>
        <v>#REF!</v>
      </c>
    </row>
    <row r="514" spans="17:17" ht="15.75" customHeight="1">
      <c r="Q514" s="2" t="e">
        <f t="shared" si="0"/>
        <v>#REF!</v>
      </c>
    </row>
    <row r="515" spans="17:17" ht="15.75" customHeight="1">
      <c r="Q515" s="2" t="e">
        <f t="shared" si="0"/>
        <v>#REF!</v>
      </c>
    </row>
    <row r="516" spans="17:17" ht="15.75" customHeight="1">
      <c r="Q516" s="2" t="e">
        <f t="shared" si="0"/>
        <v>#REF!</v>
      </c>
    </row>
    <row r="517" spans="17:17" ht="15.75" customHeight="1">
      <c r="Q517" s="2" t="e">
        <f t="shared" si="0"/>
        <v>#REF!</v>
      </c>
    </row>
    <row r="518" spans="17:17" ht="15.75" customHeight="1">
      <c r="Q518" s="2" t="e">
        <f t="shared" si="0"/>
        <v>#REF!</v>
      </c>
    </row>
    <row r="519" spans="17:17" ht="15.75" customHeight="1">
      <c r="Q519" s="2" t="e">
        <f t="shared" si="0"/>
        <v>#REF!</v>
      </c>
    </row>
    <row r="520" spans="17:17" ht="15.75" customHeight="1">
      <c r="Q520" s="2" t="e">
        <f t="shared" si="0"/>
        <v>#REF!</v>
      </c>
    </row>
    <row r="521" spans="17:17" ht="15.75" customHeight="1">
      <c r="Q521" s="2" t="e">
        <f t="shared" si="0"/>
        <v>#REF!</v>
      </c>
    </row>
    <row r="522" spans="17:17" ht="15.75" customHeight="1">
      <c r="Q522" s="2" t="e">
        <f t="shared" si="0"/>
        <v>#REF!</v>
      </c>
    </row>
    <row r="523" spans="17:17" ht="15.75" customHeight="1">
      <c r="Q523" s="2" t="e">
        <f t="shared" si="0"/>
        <v>#REF!</v>
      </c>
    </row>
    <row r="524" spans="17:17" ht="15.75" customHeight="1">
      <c r="Q524" s="2" t="e">
        <f t="shared" si="0"/>
        <v>#REF!</v>
      </c>
    </row>
    <row r="525" spans="17:17" ht="15.75" customHeight="1">
      <c r="Q525" s="2" t="e">
        <f t="shared" si="0"/>
        <v>#REF!</v>
      </c>
    </row>
    <row r="526" spans="17:17" ht="15.75" customHeight="1">
      <c r="Q526" s="2" t="e">
        <f t="shared" si="0"/>
        <v>#REF!</v>
      </c>
    </row>
    <row r="527" spans="17:17" ht="15.75" customHeight="1">
      <c r="Q527" s="2" t="e">
        <f t="shared" si="0"/>
        <v>#REF!</v>
      </c>
    </row>
    <row r="528" spans="17:17" ht="15.75" customHeight="1">
      <c r="Q528" s="2" t="e">
        <f t="shared" si="0"/>
        <v>#REF!</v>
      </c>
    </row>
    <row r="529" spans="17:17" ht="15.75" customHeight="1">
      <c r="Q529" s="2" t="e">
        <f t="shared" si="0"/>
        <v>#REF!</v>
      </c>
    </row>
    <row r="530" spans="17:17" ht="15.75" customHeight="1">
      <c r="Q530" s="2" t="e">
        <f t="shared" si="0"/>
        <v>#REF!</v>
      </c>
    </row>
    <row r="531" spans="17:17" ht="15.75" customHeight="1">
      <c r="Q531" s="2" t="e">
        <f t="shared" si="0"/>
        <v>#REF!</v>
      </c>
    </row>
    <row r="532" spans="17:17" ht="15.75" customHeight="1">
      <c r="Q532" s="2" t="e">
        <f t="shared" si="0"/>
        <v>#REF!</v>
      </c>
    </row>
    <row r="533" spans="17:17" ht="15.75" customHeight="1">
      <c r="Q533" s="2" t="e">
        <f t="shared" si="0"/>
        <v>#REF!</v>
      </c>
    </row>
    <row r="534" spans="17:17" ht="15.75" customHeight="1">
      <c r="Q534" s="2" t="e">
        <f t="shared" si="0"/>
        <v>#REF!</v>
      </c>
    </row>
    <row r="535" spans="17:17" ht="15.75" customHeight="1">
      <c r="Q535" s="2" t="e">
        <f t="shared" si="0"/>
        <v>#REF!</v>
      </c>
    </row>
    <row r="536" spans="17:17" ht="15.75" customHeight="1">
      <c r="Q536" s="2" t="e">
        <f t="shared" si="0"/>
        <v>#REF!</v>
      </c>
    </row>
    <row r="537" spans="17:17" ht="15.75" customHeight="1">
      <c r="Q537" s="2" t="e">
        <f t="shared" si="0"/>
        <v>#REF!</v>
      </c>
    </row>
    <row r="538" spans="17:17" ht="15.75" customHeight="1">
      <c r="Q538" s="2" t="e">
        <f t="shared" si="0"/>
        <v>#REF!</v>
      </c>
    </row>
    <row r="539" spans="17:17" ht="15.75" customHeight="1">
      <c r="Q539" s="2" t="e">
        <f t="shared" si="0"/>
        <v>#REF!</v>
      </c>
    </row>
    <row r="540" spans="17:17" ht="15.75" customHeight="1">
      <c r="Q540" s="2" t="e">
        <f t="shared" si="0"/>
        <v>#REF!</v>
      </c>
    </row>
    <row r="541" spans="17:17" ht="15.75" customHeight="1">
      <c r="Q541" s="2" t="e">
        <f t="shared" si="0"/>
        <v>#REF!</v>
      </c>
    </row>
    <row r="542" spans="17:17" ht="15.75" customHeight="1">
      <c r="Q542" s="2" t="e">
        <f t="shared" si="0"/>
        <v>#REF!</v>
      </c>
    </row>
    <row r="543" spans="17:17" ht="15.75" customHeight="1">
      <c r="Q543" s="2" t="e">
        <f t="shared" si="0"/>
        <v>#REF!</v>
      </c>
    </row>
    <row r="544" spans="17:17" ht="15.75" customHeight="1">
      <c r="Q544" s="2" t="e">
        <f t="shared" si="0"/>
        <v>#REF!</v>
      </c>
    </row>
    <row r="545" spans="17:17" ht="15.75" customHeight="1">
      <c r="Q545" s="2" t="e">
        <f t="shared" si="0"/>
        <v>#REF!</v>
      </c>
    </row>
    <row r="546" spans="17:17" ht="15.75" customHeight="1">
      <c r="Q546" s="2" t="e">
        <f t="shared" si="0"/>
        <v>#REF!</v>
      </c>
    </row>
    <row r="547" spans="17:17" ht="15.75" customHeight="1">
      <c r="Q547" s="2" t="e">
        <f t="shared" si="0"/>
        <v>#REF!</v>
      </c>
    </row>
    <row r="548" spans="17:17" ht="15.75" customHeight="1">
      <c r="Q548" s="2" t="e">
        <f t="shared" si="0"/>
        <v>#REF!</v>
      </c>
    </row>
    <row r="549" spans="17:17" ht="15.75" customHeight="1">
      <c r="Q549" s="2" t="e">
        <f t="shared" si="0"/>
        <v>#REF!</v>
      </c>
    </row>
    <row r="550" spans="17:17" ht="15.75" customHeight="1">
      <c r="Q550" s="2" t="e">
        <f t="shared" si="0"/>
        <v>#REF!</v>
      </c>
    </row>
    <row r="551" spans="17:17" ht="15.75" customHeight="1">
      <c r="Q551" s="2" t="e">
        <f t="shared" si="0"/>
        <v>#REF!</v>
      </c>
    </row>
    <row r="552" spans="17:17" ht="15.75" customHeight="1">
      <c r="Q552" s="2" t="e">
        <f t="shared" si="0"/>
        <v>#REF!</v>
      </c>
    </row>
    <row r="553" spans="17:17" ht="15.75" customHeight="1">
      <c r="Q553" s="2" t="e">
        <f t="shared" si="0"/>
        <v>#REF!</v>
      </c>
    </row>
    <row r="554" spans="17:17" ht="15.75" customHeight="1">
      <c r="Q554" s="2" t="e">
        <f t="shared" si="0"/>
        <v>#REF!</v>
      </c>
    </row>
    <row r="555" spans="17:17" ht="15.75" customHeight="1">
      <c r="Q555" s="2" t="e">
        <f t="shared" si="0"/>
        <v>#REF!</v>
      </c>
    </row>
    <row r="556" spans="17:17" ht="15.75" customHeight="1">
      <c r="Q556" s="2" t="e">
        <f t="shared" si="0"/>
        <v>#REF!</v>
      </c>
    </row>
    <row r="557" spans="17:17" ht="15.75" customHeight="1">
      <c r="Q557" s="2" t="e">
        <f t="shared" si="0"/>
        <v>#REF!</v>
      </c>
    </row>
    <row r="558" spans="17:17" ht="15.75" customHeight="1">
      <c r="Q558" s="2" t="e">
        <f t="shared" si="0"/>
        <v>#REF!</v>
      </c>
    </row>
    <row r="559" spans="17:17" ht="15.75" customHeight="1">
      <c r="Q559" s="2" t="e">
        <f t="shared" si="0"/>
        <v>#REF!</v>
      </c>
    </row>
    <row r="560" spans="17:17" ht="15.75" customHeight="1">
      <c r="Q560" s="2" t="e">
        <f t="shared" si="0"/>
        <v>#REF!</v>
      </c>
    </row>
    <row r="561" spans="17:17" ht="15.75" customHeight="1">
      <c r="Q561" s="2" t="e">
        <f t="shared" si="0"/>
        <v>#REF!</v>
      </c>
    </row>
    <row r="562" spans="17:17" ht="15.75" customHeight="1">
      <c r="Q562" s="2" t="e">
        <f t="shared" si="0"/>
        <v>#REF!</v>
      </c>
    </row>
    <row r="563" spans="17:17" ht="15.75" customHeight="1">
      <c r="Q563" s="2" t="e">
        <f t="shared" si="0"/>
        <v>#REF!</v>
      </c>
    </row>
    <row r="564" spans="17:17" ht="15.75" customHeight="1">
      <c r="Q564" s="2" t="e">
        <f t="shared" si="0"/>
        <v>#REF!</v>
      </c>
    </row>
    <row r="565" spans="17:17" ht="15.75" customHeight="1">
      <c r="Q565" s="2" t="e">
        <f t="shared" si="0"/>
        <v>#REF!</v>
      </c>
    </row>
    <row r="566" spans="17:17" ht="15.75" customHeight="1">
      <c r="Q566" s="2" t="e">
        <f t="shared" si="0"/>
        <v>#REF!</v>
      </c>
    </row>
    <row r="567" spans="17:17" ht="15.75" customHeight="1">
      <c r="Q567" s="2" t="e">
        <f t="shared" si="0"/>
        <v>#REF!</v>
      </c>
    </row>
    <row r="568" spans="17:17" ht="15.75" customHeight="1">
      <c r="Q568" s="2" t="e">
        <f t="shared" si="0"/>
        <v>#REF!</v>
      </c>
    </row>
    <row r="569" spans="17:17" ht="15.75" customHeight="1">
      <c r="Q569" s="2" t="e">
        <f t="shared" si="0"/>
        <v>#REF!</v>
      </c>
    </row>
    <row r="570" spans="17:17" ht="15.75" customHeight="1">
      <c r="Q570" s="2" t="e">
        <f t="shared" si="0"/>
        <v>#REF!</v>
      </c>
    </row>
    <row r="571" spans="17:17" ht="15.75" customHeight="1">
      <c r="Q571" s="2" t="e">
        <f t="shared" si="0"/>
        <v>#REF!</v>
      </c>
    </row>
    <row r="572" spans="17:17" ht="15.75" customHeight="1">
      <c r="Q572" s="2" t="e">
        <f t="shared" si="0"/>
        <v>#REF!</v>
      </c>
    </row>
    <row r="573" spans="17:17" ht="15.75" customHeight="1">
      <c r="Q573" s="2" t="e">
        <f t="shared" si="0"/>
        <v>#REF!</v>
      </c>
    </row>
    <row r="574" spans="17:17" ht="15.75" customHeight="1">
      <c r="Q574" s="2" t="e">
        <f t="shared" si="0"/>
        <v>#REF!</v>
      </c>
    </row>
    <row r="575" spans="17:17" ht="15.75" customHeight="1">
      <c r="Q575" s="2" t="e">
        <f t="shared" si="0"/>
        <v>#REF!</v>
      </c>
    </row>
    <row r="576" spans="17:17" ht="15.75" customHeight="1">
      <c r="Q576" s="2" t="e">
        <f t="shared" si="0"/>
        <v>#REF!</v>
      </c>
    </row>
    <row r="577" spans="17:17" ht="15.75" customHeight="1">
      <c r="Q577" s="2" t="e">
        <f t="shared" si="0"/>
        <v>#REF!</v>
      </c>
    </row>
    <row r="578" spans="17:17" ht="15.75" customHeight="1">
      <c r="Q578" s="2" t="e">
        <f t="shared" si="0"/>
        <v>#REF!</v>
      </c>
    </row>
    <row r="579" spans="17:17" ht="15.75" customHeight="1">
      <c r="Q579" s="2" t="e">
        <f t="shared" si="0"/>
        <v>#REF!</v>
      </c>
    </row>
    <row r="580" spans="17:17" ht="15.75" customHeight="1">
      <c r="Q580" s="2" t="e">
        <f t="shared" si="0"/>
        <v>#REF!</v>
      </c>
    </row>
    <row r="581" spans="17:17" ht="15.75" customHeight="1">
      <c r="Q581" s="2" t="e">
        <f t="shared" si="0"/>
        <v>#REF!</v>
      </c>
    </row>
    <row r="582" spans="17:17" ht="15.75" customHeight="1">
      <c r="Q582" s="2" t="e">
        <f t="shared" si="0"/>
        <v>#REF!</v>
      </c>
    </row>
    <row r="583" spans="17:17" ht="15.75" customHeight="1">
      <c r="Q583" s="2" t="e">
        <f t="shared" si="0"/>
        <v>#REF!</v>
      </c>
    </row>
    <row r="584" spans="17:17" ht="15.75" customHeight="1">
      <c r="Q584" s="2" t="e">
        <f t="shared" si="0"/>
        <v>#REF!</v>
      </c>
    </row>
    <row r="585" spans="17:17" ht="15.75" customHeight="1">
      <c r="Q585" s="2" t="e">
        <f t="shared" si="0"/>
        <v>#REF!</v>
      </c>
    </row>
    <row r="586" spans="17:17" ht="15.75" customHeight="1">
      <c r="Q586" s="2" t="e">
        <f t="shared" si="0"/>
        <v>#REF!</v>
      </c>
    </row>
    <row r="587" spans="17:17" ht="15.75" customHeight="1">
      <c r="Q587" s="2" t="e">
        <f t="shared" si="0"/>
        <v>#REF!</v>
      </c>
    </row>
    <row r="588" spans="17:17" ht="15.75" customHeight="1">
      <c r="Q588" s="2" t="e">
        <f t="shared" si="0"/>
        <v>#REF!</v>
      </c>
    </row>
    <row r="589" spans="17:17" ht="15.75" customHeight="1">
      <c r="Q589" s="2" t="e">
        <f t="shared" si="0"/>
        <v>#REF!</v>
      </c>
    </row>
    <row r="590" spans="17:17" ht="15.75" customHeight="1">
      <c r="Q590" s="2" t="e">
        <f t="shared" si="0"/>
        <v>#REF!</v>
      </c>
    </row>
    <row r="591" spans="17:17" ht="15.75" customHeight="1">
      <c r="Q591" s="2" t="e">
        <f t="shared" si="0"/>
        <v>#REF!</v>
      </c>
    </row>
    <row r="592" spans="17:17" ht="15.75" customHeight="1">
      <c r="Q592" s="2" t="e">
        <f t="shared" si="0"/>
        <v>#REF!</v>
      </c>
    </row>
    <row r="593" spans="17:17" ht="15.75" customHeight="1">
      <c r="Q593" s="2" t="e">
        <f t="shared" si="0"/>
        <v>#REF!</v>
      </c>
    </row>
    <row r="594" spans="17:17" ht="15.75" customHeight="1">
      <c r="Q594" s="2" t="e">
        <f t="shared" si="0"/>
        <v>#REF!</v>
      </c>
    </row>
    <row r="595" spans="17:17" ht="15.75" customHeight="1">
      <c r="Q595" s="2" t="e">
        <f t="shared" si="0"/>
        <v>#REF!</v>
      </c>
    </row>
    <row r="596" spans="17:17" ht="15.75" customHeight="1">
      <c r="Q596" s="2" t="e">
        <f t="shared" si="0"/>
        <v>#REF!</v>
      </c>
    </row>
    <row r="597" spans="17:17" ht="15.75" customHeight="1">
      <c r="Q597" s="2" t="e">
        <f t="shared" si="0"/>
        <v>#REF!</v>
      </c>
    </row>
    <row r="598" spans="17:17" ht="15.75" customHeight="1">
      <c r="Q598" s="2" t="e">
        <f t="shared" si="0"/>
        <v>#REF!</v>
      </c>
    </row>
    <row r="599" spans="17:17" ht="15.75" customHeight="1">
      <c r="Q599" s="2" t="e">
        <f t="shared" si="0"/>
        <v>#REF!</v>
      </c>
    </row>
    <row r="600" spans="17:17" ht="15.75" customHeight="1">
      <c r="Q600" s="2" t="e">
        <f t="shared" si="0"/>
        <v>#REF!</v>
      </c>
    </row>
    <row r="601" spans="17:17" ht="15.75" customHeight="1">
      <c r="Q601" s="2" t="e">
        <f t="shared" si="0"/>
        <v>#REF!</v>
      </c>
    </row>
    <row r="602" spans="17:17" ht="15.75" customHeight="1">
      <c r="Q602" s="2" t="e">
        <f t="shared" si="0"/>
        <v>#REF!</v>
      </c>
    </row>
    <row r="603" spans="17:17" ht="15.75" customHeight="1">
      <c r="Q603" s="2" t="e">
        <f t="shared" si="0"/>
        <v>#REF!</v>
      </c>
    </row>
    <row r="604" spans="17:17" ht="15.75" customHeight="1">
      <c r="Q604" s="2" t="e">
        <f t="shared" si="0"/>
        <v>#REF!</v>
      </c>
    </row>
    <row r="605" spans="17:17" ht="15.75" customHeight="1">
      <c r="Q605" s="2" t="e">
        <f t="shared" si="0"/>
        <v>#REF!</v>
      </c>
    </row>
    <row r="606" spans="17:17" ht="15.75" customHeight="1">
      <c r="Q606" s="2" t="e">
        <f t="shared" si="0"/>
        <v>#REF!</v>
      </c>
    </row>
    <row r="607" spans="17:17" ht="15.75" customHeight="1">
      <c r="Q607" s="2" t="e">
        <f t="shared" si="0"/>
        <v>#REF!</v>
      </c>
    </row>
    <row r="608" spans="17:17" ht="15.75" customHeight="1">
      <c r="Q608" s="2" t="e">
        <f t="shared" si="0"/>
        <v>#REF!</v>
      </c>
    </row>
    <row r="609" spans="17:17" ht="15.75" customHeight="1">
      <c r="Q609" s="2" t="e">
        <f t="shared" si="0"/>
        <v>#REF!</v>
      </c>
    </row>
    <row r="610" spans="17:17" ht="15.75" customHeight="1">
      <c r="Q610" s="2" t="e">
        <f t="shared" si="0"/>
        <v>#REF!</v>
      </c>
    </row>
    <row r="611" spans="17:17" ht="15.75" customHeight="1">
      <c r="Q611" s="2" t="e">
        <f t="shared" si="0"/>
        <v>#REF!</v>
      </c>
    </row>
    <row r="612" spans="17:17" ht="15.75" customHeight="1">
      <c r="Q612" s="2" t="e">
        <f t="shared" si="0"/>
        <v>#REF!</v>
      </c>
    </row>
    <row r="613" spans="17:17" ht="15.75" customHeight="1">
      <c r="Q613" s="2" t="e">
        <f t="shared" si="0"/>
        <v>#REF!</v>
      </c>
    </row>
    <row r="614" spans="17:17" ht="15.75" customHeight="1">
      <c r="Q614" s="2" t="e">
        <f t="shared" si="0"/>
        <v>#REF!</v>
      </c>
    </row>
    <row r="615" spans="17:17" ht="15.75" customHeight="1">
      <c r="Q615" s="2" t="e">
        <f t="shared" si="0"/>
        <v>#REF!</v>
      </c>
    </row>
    <row r="616" spans="17:17" ht="15.75" customHeight="1">
      <c r="Q616" s="2" t="e">
        <f t="shared" si="0"/>
        <v>#REF!</v>
      </c>
    </row>
    <row r="617" spans="17:17" ht="15.75" customHeight="1">
      <c r="Q617" s="2" t="e">
        <f t="shared" si="0"/>
        <v>#REF!</v>
      </c>
    </row>
    <row r="618" spans="17:17" ht="15.75" customHeight="1">
      <c r="Q618" s="2" t="e">
        <f t="shared" si="0"/>
        <v>#REF!</v>
      </c>
    </row>
    <row r="619" spans="17:17" ht="15.75" customHeight="1">
      <c r="Q619" s="2" t="e">
        <f t="shared" si="0"/>
        <v>#REF!</v>
      </c>
    </row>
    <row r="620" spans="17:17" ht="15.75" customHeight="1">
      <c r="Q620" s="2" t="e">
        <f t="shared" si="0"/>
        <v>#REF!</v>
      </c>
    </row>
    <row r="621" spans="17:17" ht="15.75" customHeight="1">
      <c r="Q621" s="2" t="e">
        <f t="shared" si="0"/>
        <v>#REF!</v>
      </c>
    </row>
    <row r="622" spans="17:17" ht="15.75" customHeight="1">
      <c r="Q622" s="2" t="e">
        <f t="shared" si="0"/>
        <v>#REF!</v>
      </c>
    </row>
    <row r="623" spans="17:17" ht="15.75" customHeight="1">
      <c r="Q623" s="2" t="e">
        <f t="shared" si="0"/>
        <v>#REF!</v>
      </c>
    </row>
    <row r="624" spans="17:17" ht="15.75" customHeight="1">
      <c r="Q624" s="2" t="e">
        <f t="shared" si="0"/>
        <v>#REF!</v>
      </c>
    </row>
    <row r="625" spans="17:17" ht="15.75" customHeight="1">
      <c r="Q625" s="2" t="e">
        <f t="shared" si="0"/>
        <v>#REF!</v>
      </c>
    </row>
    <row r="626" spans="17:17" ht="15.75" customHeight="1">
      <c r="Q626" s="2" t="e">
        <f t="shared" si="0"/>
        <v>#REF!</v>
      </c>
    </row>
    <row r="627" spans="17:17" ht="15.75" customHeight="1">
      <c r="Q627" s="2" t="e">
        <f t="shared" si="0"/>
        <v>#REF!</v>
      </c>
    </row>
    <row r="628" spans="17:17" ht="15.75" customHeight="1">
      <c r="Q628" s="2" t="e">
        <f t="shared" si="0"/>
        <v>#REF!</v>
      </c>
    </row>
    <row r="629" spans="17:17" ht="15.75" customHeight="1">
      <c r="Q629" s="2" t="e">
        <f t="shared" si="0"/>
        <v>#REF!</v>
      </c>
    </row>
    <row r="630" spans="17:17" ht="15.75" customHeight="1">
      <c r="Q630" s="2" t="e">
        <f t="shared" si="0"/>
        <v>#REF!</v>
      </c>
    </row>
    <row r="631" spans="17:17" ht="15.75" customHeight="1">
      <c r="Q631" s="2" t="e">
        <f t="shared" si="0"/>
        <v>#REF!</v>
      </c>
    </row>
    <row r="632" spans="17:17" ht="15.75" customHeight="1">
      <c r="Q632" s="2" t="e">
        <f t="shared" si="0"/>
        <v>#REF!</v>
      </c>
    </row>
    <row r="633" spans="17:17" ht="15.75" customHeight="1">
      <c r="Q633" s="2" t="e">
        <f t="shared" si="0"/>
        <v>#REF!</v>
      </c>
    </row>
    <row r="634" spans="17:17" ht="15.75" customHeight="1">
      <c r="Q634" s="2" t="e">
        <f t="shared" si="0"/>
        <v>#REF!</v>
      </c>
    </row>
    <row r="635" spans="17:17" ht="15.75" customHeight="1">
      <c r="Q635" s="2" t="e">
        <f t="shared" si="0"/>
        <v>#REF!</v>
      </c>
    </row>
    <row r="636" spans="17:17" ht="15.75" customHeight="1">
      <c r="Q636" s="2" t="e">
        <f t="shared" si="0"/>
        <v>#REF!</v>
      </c>
    </row>
    <row r="637" spans="17:17" ht="15.75" customHeight="1">
      <c r="Q637" s="2" t="e">
        <f t="shared" si="0"/>
        <v>#REF!</v>
      </c>
    </row>
    <row r="638" spans="17:17" ht="15.75" customHeight="1">
      <c r="Q638" s="2" t="e">
        <f t="shared" si="0"/>
        <v>#REF!</v>
      </c>
    </row>
    <row r="639" spans="17:17" ht="15.75" customHeight="1">
      <c r="Q639" s="2" t="e">
        <f t="shared" si="0"/>
        <v>#REF!</v>
      </c>
    </row>
    <row r="640" spans="17:17" ht="15.75" customHeight="1">
      <c r="Q640" s="2" t="e">
        <f t="shared" si="0"/>
        <v>#REF!</v>
      </c>
    </row>
    <row r="641" spans="17:17" ht="15.75" customHeight="1">
      <c r="Q641" s="2" t="e">
        <f t="shared" si="0"/>
        <v>#REF!</v>
      </c>
    </row>
    <row r="642" spans="17:17" ht="15.75" customHeight="1">
      <c r="Q642" s="2" t="e">
        <f t="shared" si="0"/>
        <v>#REF!</v>
      </c>
    </row>
    <row r="643" spans="17:17" ht="15.75" customHeight="1">
      <c r="Q643" s="2" t="e">
        <f t="shared" si="0"/>
        <v>#REF!</v>
      </c>
    </row>
    <row r="644" spans="17:17" ht="15.75" customHeight="1">
      <c r="Q644" s="2" t="e">
        <f t="shared" si="0"/>
        <v>#REF!</v>
      </c>
    </row>
    <row r="645" spans="17:17" ht="15.75" customHeight="1">
      <c r="Q645" s="2" t="e">
        <f t="shared" si="0"/>
        <v>#REF!</v>
      </c>
    </row>
    <row r="646" spans="17:17" ht="15.75" customHeight="1">
      <c r="Q646" s="2" t="e">
        <f t="shared" si="0"/>
        <v>#REF!</v>
      </c>
    </row>
    <row r="647" spans="17:17" ht="15.75" customHeight="1">
      <c r="Q647" s="2" t="e">
        <f t="shared" si="0"/>
        <v>#REF!</v>
      </c>
    </row>
    <row r="648" spans="17:17" ht="15.75" customHeight="1">
      <c r="Q648" s="2" t="e">
        <f t="shared" si="0"/>
        <v>#REF!</v>
      </c>
    </row>
    <row r="649" spans="17:17" ht="15.75" customHeight="1">
      <c r="Q649" s="2" t="e">
        <f t="shared" si="0"/>
        <v>#REF!</v>
      </c>
    </row>
    <row r="650" spans="17:17" ht="15.75" customHeight="1">
      <c r="Q650" s="2" t="e">
        <f t="shared" si="0"/>
        <v>#REF!</v>
      </c>
    </row>
    <row r="651" spans="17:17" ht="15.75" customHeight="1">
      <c r="Q651" s="2" t="e">
        <f t="shared" si="0"/>
        <v>#REF!</v>
      </c>
    </row>
    <row r="652" spans="17:17" ht="15.75" customHeight="1">
      <c r="Q652" s="2" t="e">
        <f t="shared" si="0"/>
        <v>#REF!</v>
      </c>
    </row>
    <row r="653" spans="17:17" ht="15.75" customHeight="1">
      <c r="Q653" s="2" t="e">
        <f t="shared" si="0"/>
        <v>#REF!</v>
      </c>
    </row>
    <row r="654" spans="17:17" ht="15.75" customHeight="1">
      <c r="Q654" s="2" t="e">
        <f t="shared" si="0"/>
        <v>#REF!</v>
      </c>
    </row>
    <row r="655" spans="17:17" ht="15.75" customHeight="1">
      <c r="Q655" s="2" t="e">
        <f t="shared" si="0"/>
        <v>#REF!</v>
      </c>
    </row>
    <row r="656" spans="17:17" ht="15.75" customHeight="1">
      <c r="Q656" s="2" t="e">
        <f t="shared" si="0"/>
        <v>#REF!</v>
      </c>
    </row>
    <row r="657" spans="17:17" ht="15.75" customHeight="1">
      <c r="Q657" s="2" t="e">
        <f t="shared" si="0"/>
        <v>#REF!</v>
      </c>
    </row>
    <row r="658" spans="17:17" ht="15.75" customHeight="1">
      <c r="Q658" s="2" t="e">
        <f t="shared" si="0"/>
        <v>#REF!</v>
      </c>
    </row>
    <row r="659" spans="17:17" ht="15.75" customHeight="1">
      <c r="Q659" s="2" t="e">
        <f t="shared" si="0"/>
        <v>#REF!</v>
      </c>
    </row>
    <row r="660" spans="17:17" ht="15.75" customHeight="1">
      <c r="Q660" s="2" t="e">
        <f t="shared" si="0"/>
        <v>#REF!</v>
      </c>
    </row>
    <row r="661" spans="17:17" ht="15.75" customHeight="1">
      <c r="Q661" s="2" t="e">
        <f t="shared" si="0"/>
        <v>#REF!</v>
      </c>
    </row>
    <row r="662" spans="17:17" ht="15.75" customHeight="1">
      <c r="Q662" s="2" t="e">
        <f t="shared" si="0"/>
        <v>#REF!</v>
      </c>
    </row>
    <row r="663" spans="17:17" ht="15.75" customHeight="1">
      <c r="Q663" s="2" t="e">
        <f t="shared" si="0"/>
        <v>#REF!</v>
      </c>
    </row>
    <row r="664" spans="17:17" ht="15.75" customHeight="1">
      <c r="Q664" s="2" t="e">
        <f t="shared" si="0"/>
        <v>#REF!</v>
      </c>
    </row>
    <row r="665" spans="17:17" ht="15.75" customHeight="1">
      <c r="Q665" s="2" t="e">
        <f t="shared" si="0"/>
        <v>#REF!</v>
      </c>
    </row>
    <row r="666" spans="17:17" ht="15.75" customHeight="1">
      <c r="Q666" s="2" t="e">
        <f t="shared" si="0"/>
        <v>#REF!</v>
      </c>
    </row>
    <row r="667" spans="17:17" ht="15.75" customHeight="1">
      <c r="Q667" s="2" t="e">
        <f t="shared" si="0"/>
        <v>#REF!</v>
      </c>
    </row>
    <row r="668" spans="17:17" ht="15.75" customHeight="1">
      <c r="Q668" s="2" t="e">
        <f t="shared" si="0"/>
        <v>#REF!</v>
      </c>
    </row>
    <row r="669" spans="17:17" ht="15.75" customHeight="1">
      <c r="Q669" s="2" t="e">
        <f t="shared" si="0"/>
        <v>#REF!</v>
      </c>
    </row>
    <row r="670" spans="17:17" ht="15.75" customHeight="1">
      <c r="Q670" s="2" t="e">
        <f t="shared" si="0"/>
        <v>#REF!</v>
      </c>
    </row>
    <row r="671" spans="17:17" ht="15.75" customHeight="1">
      <c r="Q671" s="2" t="e">
        <f t="shared" si="0"/>
        <v>#REF!</v>
      </c>
    </row>
    <row r="672" spans="17:17" ht="15.75" customHeight="1">
      <c r="Q672" s="2" t="e">
        <f t="shared" si="0"/>
        <v>#REF!</v>
      </c>
    </row>
    <row r="673" spans="17:17" ht="15.75" customHeight="1">
      <c r="Q673" s="2" t="e">
        <f t="shared" si="0"/>
        <v>#REF!</v>
      </c>
    </row>
    <row r="674" spans="17:17" ht="15.75" customHeight="1">
      <c r="Q674" s="2" t="e">
        <f t="shared" si="0"/>
        <v>#REF!</v>
      </c>
    </row>
    <row r="675" spans="17:17" ht="15.75" customHeight="1">
      <c r="Q675" s="2" t="e">
        <f t="shared" si="0"/>
        <v>#REF!</v>
      </c>
    </row>
    <row r="676" spans="17:17" ht="15.75" customHeight="1">
      <c r="Q676" s="2" t="e">
        <f t="shared" si="0"/>
        <v>#REF!</v>
      </c>
    </row>
    <row r="677" spans="17:17" ht="15.75" customHeight="1">
      <c r="Q677" s="2" t="e">
        <f t="shared" si="0"/>
        <v>#REF!</v>
      </c>
    </row>
    <row r="678" spans="17:17" ht="15.75" customHeight="1">
      <c r="Q678" s="2" t="e">
        <f t="shared" si="0"/>
        <v>#REF!</v>
      </c>
    </row>
    <row r="679" spans="17:17" ht="15.75" customHeight="1">
      <c r="Q679" s="2" t="e">
        <f t="shared" si="0"/>
        <v>#REF!</v>
      </c>
    </row>
    <row r="680" spans="17:17" ht="15.75" customHeight="1">
      <c r="Q680" s="2" t="e">
        <f t="shared" si="0"/>
        <v>#REF!</v>
      </c>
    </row>
    <row r="681" spans="17:17" ht="15.75" customHeight="1">
      <c r="Q681" s="2" t="e">
        <f t="shared" si="0"/>
        <v>#REF!</v>
      </c>
    </row>
    <row r="682" spans="17:17" ht="15.75" customHeight="1">
      <c r="Q682" s="2" t="e">
        <f t="shared" si="0"/>
        <v>#REF!</v>
      </c>
    </row>
    <row r="683" spans="17:17" ht="15.75" customHeight="1">
      <c r="Q683" s="2" t="e">
        <f t="shared" si="0"/>
        <v>#REF!</v>
      </c>
    </row>
    <row r="684" spans="17:17" ht="15.75" customHeight="1">
      <c r="Q684" s="2" t="e">
        <f t="shared" si="0"/>
        <v>#REF!</v>
      </c>
    </row>
    <row r="685" spans="17:17" ht="15.75" customHeight="1">
      <c r="Q685" s="2" t="e">
        <f t="shared" si="0"/>
        <v>#REF!</v>
      </c>
    </row>
    <row r="686" spans="17:17" ht="15.75" customHeight="1"/>
    <row r="687" spans="17:17" ht="15.75" customHeight="1"/>
    <row r="688" spans="17:17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20</vt:i4>
      </vt:variant>
    </vt:vector>
  </HeadingPairs>
  <TitlesOfParts>
    <vt:vector size="30" baseType="lpstr">
      <vt:lpstr>RAWLINKS</vt:lpstr>
      <vt:lpstr>oiFNO</vt:lpstr>
      <vt:lpstr>optionchain</vt:lpstr>
      <vt:lpstr>Black-Scholes</vt:lpstr>
      <vt:lpstr>GRAPH</vt:lpstr>
      <vt:lpstr>ALLGRAPHS</vt:lpstr>
      <vt:lpstr>IMPLIED</vt:lpstr>
      <vt:lpstr>topgainers</vt:lpstr>
      <vt:lpstr>toplosers</vt:lpstr>
      <vt:lpstr>ALL FUT</vt:lpstr>
      <vt:lpstr>_Nd1</vt:lpstr>
      <vt:lpstr>_Nd2</vt:lpstr>
      <vt:lpstr>_vd1</vt:lpstr>
      <vt:lpstr>_vd2</vt:lpstr>
      <vt:lpstr>'Black-Scholes'!DividendYield</vt:lpstr>
      <vt:lpstr>'ALL FUT'!ExternalData_1</vt:lpstr>
      <vt:lpstr>oiFNO!ExternalData_1</vt:lpstr>
      <vt:lpstr>topgainers!ExternalData_1</vt:lpstr>
      <vt:lpstr>toplosers!ExternalData_1</vt:lpstr>
      <vt:lpstr>oiFNO!ExternalData_2</vt:lpstr>
      <vt:lpstr>oiFNO!ExternalData_3</vt:lpstr>
      <vt:lpstr>oiFNO!ExternalData_5</vt:lpstr>
      <vt:lpstr>oiFNO!ExternalData_6</vt:lpstr>
      <vt:lpstr>N_dash_d1</vt:lpstr>
      <vt:lpstr>'Black-Scholes'!RiskFreeRate</vt:lpstr>
      <vt:lpstr>'Black-Scholes'!sigma</vt:lpstr>
      <vt:lpstr>'Black-Scholes'!solver_opt</vt:lpstr>
      <vt:lpstr>'Black-Scholes'!SpotPrice</vt:lpstr>
      <vt:lpstr>'Black-Scholes'!StrikePrice</vt:lpstr>
      <vt:lpstr>'Black-Scholes'!TimeToMaturity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karan</dc:creator>
  <cp:lastModifiedBy>h</cp:lastModifiedBy>
  <dcterms:created xsi:type="dcterms:W3CDTF">2015-06-05T18:17:20Z</dcterms:created>
  <dcterms:modified xsi:type="dcterms:W3CDTF">2024-06-22T09:00:26Z</dcterms:modified>
</cp:coreProperties>
</file>